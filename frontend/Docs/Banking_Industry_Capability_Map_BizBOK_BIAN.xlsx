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nking Capability Map" sheetId="1" state="visible" r:id="rId3"/>
    <sheet name="Summary Dashboard" sheetId="2" state="visible" r:id="rId4"/>
    <sheet name="L1 Capability Index" sheetId="3" state="visible" r:id="rId5"/>
  </sheets>
  <definedNames>
    <definedName function="false" hidden="true" localSheetId="0" name="_xlnm._FilterDatabase" vbProcedure="false">'Banking Capability Map'!$A$1:$I$175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<sst xmlns="http://schemas.openxmlformats.org/spreadsheetml/2006/main" count="1649" uniqueCount="584">
  <si>
    <t xml:space="preserve">Level</t>
  </si>
  <si>
    <t xml:space="preserve">Capability Name</t>
  </si>
  <si>
    <t xml:space="preserve">Parent Capability</t>
  </si>
  <si>
    <t xml:space="preserve">Capability Description</t>
  </si>
  <si>
    <t xml:space="preserve">Industry Adoption Level</t>
  </si>
  <si>
    <t xml:space="preserve">AI Infused Capability</t>
  </si>
  <si>
    <t xml:space="preserve">Maturity Level</t>
  </si>
  <si>
    <t xml:space="preserve">Key Technologies Involved</t>
  </si>
  <si>
    <t xml:space="preserve">Capability Function Category</t>
  </si>
  <si>
    <t xml:space="preserve">L1</t>
  </si>
  <si>
    <t xml:space="preserve">Payment Management</t>
  </si>
  <si>
    <t xml:space="preserve">-</t>
  </si>
  <si>
    <t xml:space="preserve">The enterprise-wide ability to initiate, process, route, clear, settle, and reconcile all forms of monetary transactions across retail, commercial, and interbank channels. This capability encompasses the full payment lifecycle from instruction origination through final settlement, including compliance screening, exception handling, and reporting. It serves as a critical value-enabling domain that underpins virtually all banking products and customer interactions, supporting domestic and cross-border flows across multiple currencies, payment schemes, and regulatory jurisdictions.</t>
  </si>
  <si>
    <t xml:space="preserve">High</t>
  </si>
  <si>
    <t xml:space="preserve">True</t>
  </si>
  <si>
    <t xml:space="preserve">Mature</t>
  </si>
  <si>
    <t xml:space="preserve">ISO 20022, SWIFT gpi, FedNow, RTP, SEPA, ACH, Mastercard/Visa Networks, Ripple, Blockchain DLT</t>
  </si>
  <si>
    <t xml:space="preserve">Payment Infrastructure</t>
  </si>
  <si>
    <t xml:space="preserve">L2</t>
  </si>
  <si>
    <t xml:space="preserve">Payment Processing</t>
  </si>
  <si>
    <t xml:space="preserve">The ability to receive, validate, enrich, route, and execute payment instructions across all supported payment types including credit transfers, direct debits, card transactions, and digital wallet payments. This capability handles message parsing, format transformation, sanctions and fraud screening, routing logic, and execution confirmation. It operates in both batch and real-time modes and must support STP (straight-through processing) rates above 95% for competitive institutions.</t>
  </si>
  <si>
    <t xml:space="preserve">Payment hubs (Volante, Finastra GPP, ACI Worldwide), ISO 20022 message standards, SWIFT MX/MT, API gateways</t>
  </si>
  <si>
    <t xml:space="preserve">L3</t>
  </si>
  <si>
    <t xml:space="preserve">Real-Time Payment Processing</t>
  </si>
  <si>
    <t xml:space="preserve">The ability to process and settle payment instructions within seconds on a 24/7/365 basis with immediate availability of funds to the beneficiary. Supports instant credit transfers, request-to-pay flows, and real-time confirmation/notification to both payer and payee. Requires always-on infrastructure with sub-second latency targets and 99.99% uptime SLAs.</t>
  </si>
  <si>
    <t xml:space="preserve">Growing</t>
  </si>
  <si>
    <t xml:space="preserve">FedNow, RTP (The Clearing House), SEPA Instant, UPI, Faster Payments, ISO 20022, Cloud-native payment engines</t>
  </si>
  <si>
    <t xml:space="preserve">L4</t>
  </si>
  <si>
    <t xml:space="preserve">Instant Credit Transfer</t>
  </si>
  <si>
    <t xml:space="preserve">The granular ability to execute an irrevocable credit transfer from payer to payee account with funds available within 10 seconds, including real-time validation of beneficiary account status, balance sufficiency check, sanctions screening, and immediate posting to both accounts with confirmation notifications.</t>
  </si>
  <si>
    <t xml:space="preserve">FedNow Instant Payments, TCH RTP, TIPS (TARGET Instant Payment Settlement), NPP (Australia)</t>
  </si>
  <si>
    <t xml:space="preserve">Request to Pay</t>
  </si>
  <si>
    <t xml:space="preserve">The ability to generate, transmit, and manage payment requests from payee to payer through real-time payment rails, enabling the payer to approve, decline, or schedule payment. Supports both consumer and business use cases including bill presentment, invoice payment, and point-of-sale transactions.</t>
  </si>
  <si>
    <t xml:space="preserve">Medium</t>
  </si>
  <si>
    <t xml:space="preserve">False</t>
  </si>
  <si>
    <t xml:space="preserve">Emerging</t>
  </si>
  <si>
    <t xml:space="preserve">EPC Request to Pay scheme, Open Banking APIs, PSD2/PSD3 frameworks</t>
  </si>
  <si>
    <t xml:space="preserve">Batch Payment Processing</t>
  </si>
  <si>
    <t xml:space="preserve">The ability to aggregate, validate, and process large volumes of payment instructions in scheduled batch cycles, typically for payroll, vendor payments, government disbursements, and recurring billing. Includes file ingestion, format validation, duplicate detection, and batch-level reporting and reconciliation.</t>
  </si>
  <si>
    <t xml:space="preserve">Saturated</t>
  </si>
  <si>
    <t xml:space="preserve">ACH (NACHA), BACS, BECS, SEPA Core/B2B Direct Debit, mainframe batch processing, ETL tools</t>
  </si>
  <si>
    <t xml:space="preserve">Payroll Processing</t>
  </si>
  <si>
    <t xml:space="preserve">The ability to process employer-originated bulk salary payments including net pay distribution, tax withholding remittances, benefits deductions, and multi-bank payroll disbursement with same-day or next-day value dating.</t>
  </si>
  <si>
    <t xml:space="preserve">ACH payroll origination, NACHA file formats, SAP/Workday payroll integration, SFTP secure file transfer</t>
  </si>
  <si>
    <t xml:space="preserve">Direct Debit Processing</t>
  </si>
  <si>
    <t xml:space="preserve">The ability to process creditor-initiated collection instructions against debtor accounts based on pre-authorized mandates, including mandate management, pre-notification, collection scheduling, return and refund handling, and R-transaction processing.</t>
  </si>
  <si>
    <t xml:space="preserve">SEPA Direct Debit Core/B2B, ACH debit origination, BACS Direct Debit, Mandate management systems</t>
  </si>
  <si>
    <t xml:space="preserve">Card Payment Processing</t>
  </si>
  <si>
    <t xml:space="preserve">The ability to authorize, clear, and settle card-based payment transactions across credit, debit, and prepaid card products for both issuing and acquiring sides. Includes real-time authorization decisioning, EMV chip and contactless processing, tokenized transaction handling, 3D Secure authentication, and chargeback/dispute lifecycle management.</t>
  </si>
  <si>
    <t xml:space="preserve">Visa/Mastercard networks, EMV specifications, Apple Pay/Google Pay tokenization, PCI DSS, 3DS2 protocol, ISO 8583</t>
  </si>
  <si>
    <t xml:space="preserve">Card Authorization</t>
  </si>
  <si>
    <t xml:space="preserve">The ability to receive and process real-time authorization requests from acquirers or merchants, validate card status, check available credit/balance, apply fraud scoring, enforce velocity limits, and return approval or decline decisions within sub-second timeframes.</t>
  </si>
  <si>
    <t xml:space="preserve">ISO 8583, Visa VTS, Mastercard MDES, Neural network fraud scoring, Real-time decisioning engines</t>
  </si>
  <si>
    <t xml:space="preserve">Card Clearing and Settlement</t>
  </si>
  <si>
    <t xml:space="preserve">The ability to process end-of-day clearing files from card networks, match authorizations to presentments, calculate net settlement positions, apply interchange fees, and execute interbank fund transfers to complete the card transaction lifecycle.</t>
  </si>
  <si>
    <t xml:space="preserve">VisaNet, Mastercard Banknet, Clearing file processing, CHIPS/Fedwire for settlement</t>
  </si>
  <si>
    <t xml:space="preserve">Chargeback and Dispute Management</t>
  </si>
  <si>
    <t xml:space="preserve">The ability to manage the full lifecycle of cardholder disputes including initial claim intake, reason code classification, provisional credit issuance, representment handling, arbitration, and final resolution with associated accounting entries and regulatory reporting.</t>
  </si>
  <si>
    <t xml:space="preserve">Visa Resolve Online, Mastercard Connect, Dispute management platforms (Chargebacks911, Midigator)</t>
  </si>
  <si>
    <t xml:space="preserve">Payment Clearing</t>
  </si>
  <si>
    <t xml:space="preserve">The ability to exchange and net payment obligations between financial institutions through designated clearing systems. This includes message exchange with clearing houses, bilateral and multilateral netting calculations, exception and reject handling, and clearing cycle management across domestic and international payment schemes.</t>
  </si>
  <si>
    <t xml:space="preserve">ACH operators, EBA STEP2, CHIPS, CLS, Euroclear, Clearstream, Central bank RTGS connections</t>
  </si>
  <si>
    <t xml:space="preserve">Domestic Clearing</t>
  </si>
  <si>
    <t xml:space="preserve">The ability to participate in domestic clearing schemes for exchanging payment instructions with other domestic financial institutions, including ACH clearing, check clearing (image-based), and domestic instant payment scheme participation.</t>
  </si>
  <si>
    <t xml:space="preserve">Federal Reserve ACH, EPN, BACS, local ACH operators, Check 21 image exchange</t>
  </si>
  <si>
    <t xml:space="preserve">International Clearing</t>
  </si>
  <si>
    <t xml:space="preserve">The ability to clear cross-border payment instructions through correspondent banking networks, international clearing systems, and cross-border payment schemes. Includes SWIFT message exchange, correspondent account management, and cross-border scheme participation.</t>
  </si>
  <si>
    <t xml:space="preserve">SWIFT FIN/InterAct, TARGET2, CLS for FX settlement, Correspondent banking (Nostro/Vostro)</t>
  </si>
  <si>
    <t xml:space="preserve">Payment Settlement</t>
  </si>
  <si>
    <t xml:space="preserve">The ability to complete the final, irrevocable transfer of funds between financial institutions to discharge payment obligations. Includes participation in central bank RTGS systems, management of settlement accounts and liquidity positions, intraday liquidity monitoring, and settlement finality confirmation.</t>
  </si>
  <si>
    <t xml:space="preserve">Fedwire, TARGET2, CHAPS, RITS, BOJ-NET, RTGS systems globally, Central bank reserve accounts</t>
  </si>
  <si>
    <t xml:space="preserve">RTGS Settlement</t>
  </si>
  <si>
    <t xml:space="preserve">The ability to settle high-value and time-critical payments on a gross, real-time basis through the central bank's RTGS system, including liquidity management, queue management, and gridlock resolution.</t>
  </si>
  <si>
    <t xml:space="preserve">Fedwire Funds Service, TARGET2, CHAPS, RITS, LVTS (Canada), CLS</t>
  </si>
  <si>
    <t xml:space="preserve">Net Settlement</t>
  </si>
  <si>
    <t xml:space="preserve">The ability to calculate and settle multilateral net positions arising from batch clearing cycles, including end-of-day net settlement through clearing house settlement accounts and management of settlement risk exposures.</t>
  </si>
  <si>
    <t xml:space="preserve">ACH settlement, CHIPS final settlement, Card network settlement, CCP settlement</t>
  </si>
  <si>
    <t xml:space="preserve">Payment Channel Management</t>
  </si>
  <si>
    <t xml:space="preserve">The ability to originate and receive payment instructions across multiple customer-facing and system-to-system channels including online banking, mobile apps, ATMs, branch teller systems, host-to-host connections, SWIFT, and API-based channels. Includes channel-specific formatting, validation rules, and user experience optimization.</t>
  </si>
  <si>
    <t xml:space="preserve">Online/mobile banking platforms, ATM networks (Diebold, NCR), SWIFT Alliance, API gateways, Open Banking APIs</t>
  </si>
  <si>
    <t xml:space="preserve">Digital Payment Initiation</t>
  </si>
  <si>
    <t xml:space="preserve">The ability to accept payment instructions through digital channels including online banking portals, mobile banking apps, and third-party payment initiation service providers (PISPs) under Open Banking frameworks. Includes digital signature verification, multi-factor authentication, and beneficiary management.</t>
  </si>
  <si>
    <t xml:space="preserve">PSD2/PSD3 PISP APIs, Open Banking standards (UK OB, Berlin Group), Mobile SDKs, Biometric authentication</t>
  </si>
  <si>
    <t xml:space="preserve">ATM Payment Services</t>
  </si>
  <si>
    <t xml:space="preserve">The ability to process cash withdrawals, deposits, fund transfers, and bill payments through automated teller machines, including interbank ATM network participation, surcharge management, and real-time account posting.</t>
  </si>
  <si>
    <t xml:space="preserve">ATM switch (BASE24, Postilion), EMV chip readers, NFC contactless, Interbank networks (PLUS, Cirrus)</t>
  </si>
  <si>
    <t xml:space="preserve">Cross-Border Payment Management</t>
  </si>
  <si>
    <t xml:space="preserve">The ability to process international payment transactions including foreign currency conversion, correspondent bank routing, regulatory compliance screening (OFAC, EU sanctions), beneficiary bank identification (BIC/IBAN validation), and end-to-end payment tracking. Encompasses both high-value wholesale payments and low-value retail remittances.</t>
  </si>
  <si>
    <t xml:space="preserve">SWIFT gpi, Ripple/XRP, Wise Platform, ISO 20022 cross-border, OFAC screening (Fircosoft), WorldCheck</t>
  </si>
  <si>
    <t xml:space="preserve">Foreign Exchange for Payments</t>
  </si>
  <si>
    <t xml:space="preserve">The ability to quote, execute, and settle foreign exchange conversions embedded within cross-border payment transactions, including real-time FX rate sourcing, margin application, and multi-currency nostro account management.</t>
  </si>
  <si>
    <t xml:space="preserve">FX trading platforms (360T, Refinitiv FXall), Multi-currency accounting, CLS settlement</t>
  </si>
  <si>
    <t xml:space="preserve">Correspondent Banking</t>
  </si>
  <si>
    <t xml:space="preserve">The ability to maintain and manage relationships with correspondent banks globally, including nostro/vostro account reconciliation, bilateral credit limit management, KYC due diligence on correspondent banks, and payment routing optimization through the correspondent network.</t>
  </si>
  <si>
    <t xml:space="preserve">SWIFT KYC Registry, Nostro reconciliation (SmartStream), Correspondent bank directory management</t>
  </si>
  <si>
    <t xml:space="preserve">Digital Wallet and Alternative Payments</t>
  </si>
  <si>
    <t xml:space="preserve">The ability to support emerging and alternative payment methods including mobile wallets, QR code payments, buy-now-pay-later (BNPL), cryptocurrency payments, and account-to-account (A2A) payments. Encompasses tokenization, device binding, and integration with third-party payment ecosystems.</t>
  </si>
  <si>
    <t xml:space="preserve">Apple Pay, Google Pay, Samsung Pay, PayPal, BNPL platforms (Affirm, Klarna), Blockchain/DLT, QR standards (EMVCo)</t>
  </si>
  <si>
    <t xml:space="preserve">Mobile Wallet Integration</t>
  </si>
  <si>
    <t xml:space="preserve">The ability to provision, manage, and process transactions through mobile wallet platforms including card tokenization, device enrollment, in-app and tap-to-pay transaction processing, and wallet lifecycle management.</t>
  </si>
  <si>
    <t xml:space="preserve">Apple Pay/Google Pay provisioning APIs, EMV tokenization, HCE (Host Card Emulation), NFC</t>
  </si>
  <si>
    <t xml:space="preserve">Buy Now Pay Later Integration</t>
  </si>
  <si>
    <t xml:space="preserve">The ability to offer and manage installment payment plans at point of sale, including real-time credit decisioning, installment scheduling, merchant integration, and collection management for BNPL products.</t>
  </si>
  <si>
    <t xml:space="preserve">BNPL platforms (Affirm, Klarna, Afterpay), POS integration APIs, Real-time credit scoring</t>
  </si>
  <si>
    <t xml:space="preserve">Account Management</t>
  </si>
  <si>
    <t xml:space="preserve">The enterprise-wide ability to create, maintain, service, and close all types of customer accounts across retail, commercial, and institutional banking segments. This capability spans the complete account lifecycle from origination through closure, including account configuration, balance management, interest calculation, fee administration, statement generation, and regulatory reporting. It serves as the foundational data and transactional backbone upon which all banking products and services are built.</t>
  </si>
  <si>
    <t xml:space="preserve">Core banking systems (Temenos T24, Finastra, FIS Modern Banking Platform, TCS BaNCS, Infosys Finacle), CIF systems</t>
  </si>
  <si>
    <t xml:space="preserve">Core Banking Systems</t>
  </si>
  <si>
    <t xml:space="preserve">Account Origination</t>
  </si>
  <si>
    <t xml:space="preserve">The ability to onboard new customer accounts through digital and physical channels, including identity verification, KYC/AML compliance checks, product eligibility determination, account configuration, initial funding, and welcome kit distribution. Supports both individual and joint accounts across all product types.</t>
  </si>
  <si>
    <t xml:space="preserve">Digital onboarding platforms (Jumio, Onfido), eKYC, OCR/NLP for document processing, e-signature (DocuSign), Core banking origination modules</t>
  </si>
  <si>
    <t xml:space="preserve">Digital Account Opening</t>
  </si>
  <si>
    <t xml:space="preserve">The ability to complete end-to-end account opening through digital channels (web and mobile) without branch visit, including real-time identity verification using biometrics, document upload and OCR extraction, instant decisioning, and immediate account activation with digital card issuance.</t>
  </si>
  <si>
    <t xml:space="preserve">Biometric verification (facial recognition, liveness detection), eKYC APIs, AI document extraction, Digital card issuance (Marqeta)</t>
  </si>
  <si>
    <t xml:space="preserve">Customer &amp; Digital Experience</t>
  </si>
  <si>
    <t xml:space="preserve">Commercial Account Origination</t>
  </si>
  <si>
    <t xml:space="preserve">The ability to onboard complex commercial and corporate account structures including multi-entity hierarchies, signatory management, authorization matrices, cash management service configurations, and integration with trade finance and treasury platforms.</t>
  </si>
  <si>
    <t xml:space="preserve">Commercial onboarding platforms, Entity verification (D&amp;B, Bureau van Dijk), Multi-entity CIF, Legal entity identifier (LEI)</t>
  </si>
  <si>
    <t xml:space="preserve">KYC Document Collection and Verification</t>
  </si>
  <si>
    <t xml:space="preserve">The ability to collect, validate, and verify customer identification documents against authoritative sources, including government ID verification, proof of address validation, beneficial ownership determination for entities, and ongoing refresh of KYC documentation on scheduled cycles.</t>
  </si>
  <si>
    <t xml:space="preserve">IDV platforms (Jumio, Onfido, Trulioo), Government database lookups, Facial biometrics, PEP/sanctions screening</t>
  </si>
  <si>
    <t xml:space="preserve">Security &amp; Compliance</t>
  </si>
  <si>
    <t xml:space="preserve">Product Eligibility and Recommendation</t>
  </si>
  <si>
    <t xml:space="preserve">The ability to assess customer eligibility for specific account products based on regulatory requirements, credit profile, relationship depth, and behavioral data, and to recommend optimal product configurations including fee packages and service bundles.</t>
  </si>
  <si>
    <t xml:space="preserve">ML recommendation engines, Credit bureau APIs (Experian, TransUnion, Equifax), Customer analytics platforms</t>
  </si>
  <si>
    <t xml:space="preserve">Account Servicing</t>
  </si>
  <si>
    <t xml:space="preserve">The ability to maintain and modify existing accounts throughout their lifecycle, including address and contact updates, signatory changes, product feature modifications, fee waivers, hold and block management, dormancy processing, and account reactivation. Ensures continuous regulatory compliance and accurate record-keeping.</t>
  </si>
  <si>
    <t xml:space="preserve">Core banking platforms, CRM systems (Salesforce Financial Services Cloud), Workflow engines, Document management</t>
  </si>
  <si>
    <t xml:space="preserve">Account Maintenance</t>
  </si>
  <si>
    <t xml:space="preserve">The ability to process routine account maintenance requests including name/address changes, contact information updates, statement preferences, tax reporting elections, and beneficiary/nominee changes with appropriate verification and audit trail.</t>
  </si>
  <si>
    <t xml:space="preserve">Core banking maintenance modules, Self-service portals, Workflow automation (Pega, Appian)</t>
  </si>
  <si>
    <t xml:space="preserve">Account Balance Management</t>
  </si>
  <si>
    <t xml:space="preserve">The ability to maintain real-time and end-of-day account balances across all balance types (available, ledger, collected, hold, float), process memo and final postings, manage overdraft limits, and provide balance inquiry services across all channels.</t>
  </si>
  <si>
    <t xml:space="preserve">Core banking ledger, Real-time balance engines, Memo posting systems, Balance aggregation services</t>
  </si>
  <si>
    <t xml:space="preserve">Interest and Fee Administration</t>
  </si>
  <si>
    <t xml:space="preserve">The ability to calculate, accrue, and post interest (credit and debit) and fees across all account types based on configured rate structures, balance tiers, promotional terms, and relationship pricing. Includes interest rate change propagation, fee waiver processing, and regulatory rate compliance.</t>
  </si>
  <si>
    <t xml:space="preserve">Interest calculation engines, Rate management systems, Tiered pricing configurations, Fee billing platforms</t>
  </si>
  <si>
    <t xml:space="preserve">Statement Generation and Distribution</t>
  </si>
  <si>
    <t xml:space="preserve">The ability to generate periodic and on-demand account statements in multiple formats (PDF, CSV, MT940, CAMT.053) and distribute via physical mail, secure email, online banking, and host-to-host channels. Includes regulatory statement requirements and archival.</t>
  </si>
  <si>
    <t xml:space="preserve">Statement rendering engines, Print/mail vendors, e-Statement platforms, Document archival (FileNet, Documentum)</t>
  </si>
  <si>
    <t xml:space="preserve">Account Closure and Transition</t>
  </si>
  <si>
    <t xml:space="preserve">The ability to process voluntary and involuntary account closures including balance disposition, recurring payment migration assistance, final statement generation, regulatory hold verification, tax document issuance, and data retention per regulatory requirements.</t>
  </si>
  <si>
    <t xml:space="preserve">Core banking closure modules, Escheatment processing, Regulatory hold checks, Data archival systems</t>
  </si>
  <si>
    <t xml:space="preserve">Deposit Account Management</t>
  </si>
  <si>
    <t xml:space="preserve">The ability to manage all deposit product accounts including checking/current accounts, savings accounts, money market accounts, and certificates of deposit/term deposits. Encompasses product-specific features such as check issuance, debit card linking, sweep arrangements, and maturity management.</t>
  </si>
  <si>
    <t xml:space="preserve">Core banking deposit modules, Sweep engines, CD maturity management, FDIC/deposit insurance reporting</t>
  </si>
  <si>
    <t xml:space="preserve">Current/Checking Account Management</t>
  </si>
  <si>
    <t xml:space="preserve">The ability to operate and service transactional checking accounts including check processing, overdraft facility management, debit card administration, online bill pay integration, and real-time balance monitoring with configurable alerts and notifications.</t>
  </si>
  <si>
    <t xml:space="preserve">Core banking, Check processing (Check 21), Debit card management, Bill pay platforms (Fiserv CheckFree)</t>
  </si>
  <si>
    <t xml:space="preserve">Savings and Term Deposit Management</t>
  </si>
  <si>
    <t xml:space="preserve">The ability to manage savings and fixed-term deposit products including interest rate setting, maturity notification, auto-renewal processing, early withdrawal penalty calculation, and sweep/link arrangements between savings and transactional accounts.</t>
  </si>
  <si>
    <t xml:space="preserve">Core banking deposit modules, Rate management, Maturity processing engines, Auto-sweep configuration</t>
  </si>
  <si>
    <t xml:space="preserve">Lending Account Management</t>
  </si>
  <si>
    <t xml:space="preserve">The ability to manage all credit and lending accounts including mortgages, personal loans, auto loans, commercial loans, lines of credit, and credit cards throughout the loan lifecycle from disbursement through payoff or charge-off. Encompasses payment application, escrow management, rate adjustments, and collections.</t>
  </si>
  <si>
    <t xml:space="preserve">Loan management systems (FIS, Finastra Fusion, nCino), Loan origination systems, Collections platforms</t>
  </si>
  <si>
    <t xml:space="preserve">Loan Servicing</t>
  </si>
  <si>
    <t xml:space="preserve">The ability to process loan payment applications, manage escrow accounts, handle rate changes and payment recalculations, process partial prepayments and payoffs, manage insurance tracking, and generate regulatory disclosures (TILA, RESPA) throughout the loan term.</t>
  </si>
  <si>
    <t xml:space="preserve">Loan servicing platforms (Black Knight MSP, Sagent), Escrow administration, Insurance tracking</t>
  </si>
  <si>
    <t xml:space="preserve">Credit Card Account Management</t>
  </si>
  <si>
    <t xml:space="preserve">The ability to manage credit card accounts including credit limit management, billing cycle processing, minimum payment calculation, rewards program administration, balance transfer processing, and credit card dispute handling.</t>
  </si>
  <si>
    <t xml:space="preserve">Card management systems (TSYS, FIS), Rewards platforms, Billing engines, Dispute management</t>
  </si>
  <si>
    <t xml:space="preserve">Commercial Loan Management</t>
  </si>
  <si>
    <t xml:space="preserve">The ability to manage complex commercial lending facilities including revolving credit facilities, term loans, syndicated loans, letters of credit, and asset-based lending. Encompasses covenant monitoring, collateral management, draw/repayment processing, and participations/syndications.</t>
  </si>
  <si>
    <t xml:space="preserve">Commercial lending platforms (nCino, Finastra), Covenant monitoring, Syndication platforms (Finastra Fusion LoanIQ)</t>
  </si>
  <si>
    <t xml:space="preserve">Customer Management</t>
  </si>
  <si>
    <t xml:space="preserve">The enterprise-wide ability to acquire, onboard, understand, engage, serve, retain, and grow customer relationships across all segments (retail, mass affluent, HNW, SME, corporate, institutional). This capability encompasses customer identity management, relationship analytics, lifecycle management, experience orchestration, and voice-of-customer programs. It serves as the strategic capability that transforms transactional banking relationships into advisory partnerships.</t>
  </si>
  <si>
    <t xml:space="preserve">CRM (Salesforce Financial Services Cloud, Microsoft Dynamics 365), CDP platforms, Customer analytics, Personalization engines</t>
  </si>
  <si>
    <t xml:space="preserve">Customer Identity and Data Management</t>
  </si>
  <si>
    <t xml:space="preserve">The ability to establish, maintain, and govern a single, authoritative view of each customer across all products, channels, and business lines. Includes master data management, identity resolution, data quality assurance, consent management, and privacy compliance (GDPR, CCPA). Serves as the foundational data layer for all customer-facing capabilities.</t>
  </si>
  <si>
    <t xml:space="preserve">MDM platforms (Informatica, Reltio), Identity resolution (Quantexa), CDPs (Treasure Data, Segment), Consent management platforms</t>
  </si>
  <si>
    <t xml:space="preserve">Data &amp; Analytics</t>
  </si>
  <si>
    <t xml:space="preserve">Customer Master Data Management</t>
  </si>
  <si>
    <t xml:space="preserve">The ability to create and maintain golden customer records by matching, merging, and de-duplicating customer data across multiple source systems, ensuring a single source of truth for customer identity, demographics, and relationship attributes.</t>
  </si>
  <si>
    <t xml:space="preserve">MDM (Informatica MDM, IBM InfoSphere), Entity resolution (Quantexa, Pitney Bowes), Data quality tools</t>
  </si>
  <si>
    <t xml:space="preserve">Customer Consent and Privacy Management</t>
  </si>
  <si>
    <t xml:space="preserve">The ability to capture, store, and enforce customer consent preferences and data privacy rights across all channels and systems, ensuring compliance with GDPR, CCPA, and other data protection regulations including right to erasure, data portability, and marketing opt-out management.</t>
  </si>
  <si>
    <t xml:space="preserve">OneTrust, TrustArc, Consent management platforms, Privacy rights automation</t>
  </si>
  <si>
    <t xml:space="preserve">Customer Relationship Management</t>
  </si>
  <si>
    <t xml:space="preserve">The ability to manage end-to-end customer relationships including lead management, opportunity tracking, relationship planning, needs assessment, product holding analysis, wallet share estimation, and relationship profitability measurement. Supports relationship managers with 360-degree customer views and next-best-action recommendations.</t>
  </si>
  <si>
    <t xml:space="preserve">Salesforce Financial Services Cloud, Microsoft Dynamics 365, SAS Customer Intelligence, Next-best-action engines</t>
  </si>
  <si>
    <t xml:space="preserve">Customer Segmentation and Profiling</t>
  </si>
  <si>
    <t xml:space="preserve">The ability to classify customers into actionable segments based on demographic, behavioral, transactional, and psychographic attributes using statistical and AI models. Supports differentiated service levels, targeted marketing, and personalized product recommendations.</t>
  </si>
  <si>
    <t xml:space="preserve">ML clustering algorithms, Customer analytics platforms (SAS, FICO), Behavioral scoring models</t>
  </si>
  <si>
    <t xml:space="preserve">Customer Lifecycle Management</t>
  </si>
  <si>
    <t xml:space="preserve">The ability to manage the customer journey from prospect through active engagement, growth, retention, and potential win-back. Includes trigger-based engagement programs, attrition prediction, proactive retention offers, and lifecycle-stage-appropriate communications.</t>
  </si>
  <si>
    <t xml:space="preserve">Marketing automation (Adobe Campaign, Salesforce Marketing Cloud), Churn prediction models, Journey orchestration</t>
  </si>
  <si>
    <t xml:space="preserve">Customer Profitability Analysis</t>
  </si>
  <si>
    <t xml:space="preserve">The ability to calculate and analyze profitability at individual customer and relationship levels by allocating revenues, direct costs, risk costs, and capital charges to derive risk-adjusted return metrics that inform pricing, service level, and retention decisions.</t>
  </si>
  <si>
    <t xml:space="preserve">Profitability analytics (Axiom EPM, SAS), Activity-based costing, Funds transfer pricing (FTP) models</t>
  </si>
  <si>
    <t xml:space="preserve">Customer Experience Management</t>
  </si>
  <si>
    <t xml:space="preserve">The ability to design, deliver, measure, and optimize customer experiences across all touchpoints and channels. Includes journey mapping, experience measurement (NPS, CSAT, CES), voice-of-customer analytics, complaint management, and experience personalization. Drives continuous improvement in customer satisfaction and loyalty.</t>
  </si>
  <si>
    <t xml:space="preserve">Qualtrics XM, Medallia, Adobe Experience Platform, Journey analytics (Thunderhead), Speech/text analytics</t>
  </si>
  <si>
    <t xml:space="preserve">Voice of Customer Analytics</t>
  </si>
  <si>
    <t xml:space="preserve">The ability to capture, analyze, and derive actionable insights from customer feedback across surveys, social media, call recordings, chat transcripts, and complaint data using NLP and sentiment analysis to identify experience pain points and improvement opportunities.</t>
  </si>
  <si>
    <t xml:space="preserve">NLP/sentiment analysis, Speech analytics (Verint, NICE), Social listening (Sprinklr), Text mining</t>
  </si>
  <si>
    <t xml:space="preserve">Customer Complaint Management</t>
  </si>
  <si>
    <t xml:space="preserve">The ability to intake, classify, investigate, resolve, and track customer complaints across all channels with regulatory-compliant resolution timelines, root cause analysis, and trend reporting. Includes escalation management and regulatory complaint reporting (CFPB, FCA).</t>
  </si>
  <si>
    <t xml:space="preserve">Case management platforms (Salesforce Service Cloud, Pega), Complaint taxonomy, Regulatory reporting tools</t>
  </si>
  <si>
    <t xml:space="preserve">Personalization and Recommendation</t>
  </si>
  <si>
    <t xml:space="preserve">The ability to deliver contextually relevant, personalized content, product recommendations, and offers to individual customers across all channels in real-time, based on behavioral patterns, transaction history, life events, and predictive models.</t>
  </si>
  <si>
    <t xml:space="preserve">AI recommendation engines, Real-time decisioning (FICO, Pega CDH), Adobe Target, Personalization APIs</t>
  </si>
  <si>
    <t xml:space="preserve">Digital Channel Management</t>
  </si>
  <si>
    <t xml:space="preserve">The ability to design, build, operate, and optimize customer-facing digital channels including online banking, mobile banking apps, chatbots, virtual assistants, and self-service portals. Encompasses UX/UI design, feature delivery, performance optimization, and omnichannel consistency.</t>
  </si>
  <si>
    <t xml:space="preserve">Digital banking platforms (Backbase, Temenos Infinity, Q2), Mobile SDKs, React Native/Flutter, Chatbot frameworks</t>
  </si>
  <si>
    <t xml:space="preserve">Online Banking Platform</t>
  </si>
  <si>
    <t xml:space="preserve">The ability to provide secure, feature-rich internet banking services including account management, fund transfers, bill payments, loan applications, investment management, and self-service administration through web browsers with responsive design.</t>
  </si>
  <si>
    <t xml:space="preserve">Digital banking platforms (Backbase, Temenos Infinity), Web frameworks, SSO/OAuth 2.0, WAF</t>
  </si>
  <si>
    <t xml:space="preserve">Mobile Banking Application</t>
  </si>
  <si>
    <t xml:space="preserve">The ability to deliver full-service banking capabilities through native and hybrid mobile applications, including biometric authentication, push notifications, mobile check deposit, P2P payments, card controls, and location-based services.</t>
  </si>
  <si>
    <t xml:space="preserve">iOS/Android SDKs, React Native, Flutter, Mobile biometrics, Push notification services, Mobile RDC</t>
  </si>
  <si>
    <t xml:space="preserve">Conversational Banking</t>
  </si>
  <si>
    <t xml:space="preserve">The ability to engage customers through AI-powered chatbots and virtual assistants across text and voice channels, handling routine inquiries, transaction initiation, product guidance, and intelligent routing to human agents for complex needs.</t>
  </si>
  <si>
    <t xml:space="preserve">LLMs (GPT, Claude, PaLM), Dialogflow, Amazon Lex, Microsoft Bot Framework, NLU engines</t>
  </si>
  <si>
    <t xml:space="preserve">AI Virtual Financial Assistant</t>
  </si>
  <si>
    <t xml:space="preserve">The ability to provide personalized financial guidance and proactive insights through AI-powered virtual assistants that understand customer financial context, predict needs, and offer actionable recommendations on spending, saving, and investing.</t>
  </si>
  <si>
    <t xml:space="preserve">Generative AI, LLM fine-tuning, RAG architectures, Financial NLP models, Conversational AI platforms</t>
  </si>
  <si>
    <t xml:space="preserve">Risk Management</t>
  </si>
  <si>
    <t xml:space="preserve">The enterprise-wide ability to identify, measure, monitor, mitigate, and report all categories of risk including credit risk, market risk, operational risk, liquidity risk, model risk, cyber risk, and emerging risks (climate, geopolitical). This capability ensures the bank operates within defined risk appetite, maintains regulatory capital adequacy, and protects stakeholder value through comprehensive risk governance frameworks aligned with Basel III/IV, CCAR, and other prudential requirements.</t>
  </si>
  <si>
    <t xml:space="preserve">Risk platforms (SAS Risk, Moody's Analytics, MSCI RiskMetrics), Regulatory capital engines, Stress testing frameworks</t>
  </si>
  <si>
    <t xml:space="preserve">Credit Risk Management</t>
  </si>
  <si>
    <t xml:space="preserve">The ability to assess, measure, monitor, and mitigate the risk of financial loss arising from borrower or counterparty default. Encompasses credit origination decisioning, portfolio credit risk measurement, concentration risk monitoring, expected credit loss (ECL) calculation under IFRS 9/CECL, and credit risk reporting.</t>
  </si>
  <si>
    <t xml:space="preserve">Credit decisioning engines (FICO, Experian PowerCurve), PD/LGD/EAD models, IFRS 9/CECL engines, Credit bureau data</t>
  </si>
  <si>
    <t xml:space="preserve">Credit Scoring and Decisioning</t>
  </si>
  <si>
    <t xml:space="preserve">The ability to evaluate creditworthiness of individual and commercial borrowers using statistical models, AI/ML algorithms, and bureau data to generate credit scores and automated lending decisions with explainable rationale for both approval and decline outcomes.</t>
  </si>
  <si>
    <t xml:space="preserve">ML credit scoring (gradient boosting, neural nets), FICO Score, VantageScore, Alternative data scoring, Explainable AI (SHAP, LIME)</t>
  </si>
  <si>
    <t xml:space="preserve">Credit Portfolio Management</t>
  </si>
  <si>
    <t xml:space="preserve">The ability to monitor and manage credit risk at portfolio level including concentration risk by geography, industry, product, and counterparty. Includes portfolio stress testing, credit migration analysis, vintage analysis, and portfolio optimization within risk appetite constraints.</t>
  </si>
  <si>
    <t xml:space="preserve">Portfolio analytics (Moody's Analytics, S&amp;P Capital IQ), Concentration risk models, Credit VaR</t>
  </si>
  <si>
    <t xml:space="preserve">Expected Credit Loss Calculation</t>
  </si>
  <si>
    <t xml:space="preserve">The ability to calculate lifetime and 12-month expected credit losses under IFRS 9 or CECL accounting standards, including probability of default estimation, loss given default modeling, exposure at default calculation, and staging classification for impairment provisioning.</t>
  </si>
  <si>
    <t xml:space="preserve">IFRS 9/CECL engines (Moody's, SAS, Oracle OFSAA), PD/LGD/EAD models, Macroeconomic scenario generators</t>
  </si>
  <si>
    <t xml:space="preserve">Alternative Data Credit Assessment</t>
  </si>
  <si>
    <t xml:space="preserve">The ability to incorporate non-traditional data sources such as utility payments, rental history, social media signals, mobile phone usage, and cash flow analytics into credit assessment models to expand credit access to thin-file and unbanked populations.</t>
  </si>
  <si>
    <t xml:space="preserve">Alternative data aggregators (Plaid, Yodlee), Cash flow underwriting models, Open Banking data, NLP for unstructured data</t>
  </si>
  <si>
    <t xml:space="preserve">Market Risk Management</t>
  </si>
  <si>
    <t xml:space="preserve">The ability to identify, measure, and manage the risk of losses in trading and investment portfolios arising from adverse movements in market variables including interest rates, foreign exchange rates, equity prices, commodity prices, and credit spreads. Includes VaR calculation, stress testing, and trading limit monitoring.</t>
  </si>
  <si>
    <t xml:space="preserve">Market risk platforms (MSCI RiskMetrics, Bloomberg MARS, Murex), VaR models, Monte Carlo simulation, Greeks calculation</t>
  </si>
  <si>
    <t xml:space="preserve">Value at Risk Calculation</t>
  </si>
  <si>
    <t xml:space="preserve">The ability to calculate portfolio-level VaR using historical simulation, Monte Carlo, and parametric methods across multiple confidence levels and time horizons, supporting both regulatory (FRTB) and internal risk management requirements.</t>
  </si>
  <si>
    <t xml:space="preserve">Risk engines (MSCI, Bloomberg), Historical simulation, Monte Carlo frameworks, GPU computing for complex models</t>
  </si>
  <si>
    <t xml:space="preserve">Interest Rate Risk Management</t>
  </si>
  <si>
    <t xml:space="preserve">The ability to measure and manage exposure to interest rate movements across the banking book (IRRBB) and trading book, including duration gap analysis, NII simulation, EVE sensitivity, basis risk monitoring, and hedging strategy execution.</t>
  </si>
  <si>
    <t xml:space="preserve">ALM systems (QRM, Empyrean, Kamakura), NII simulation, EVE models, Hedge accounting (IAS 39/IFRS 9)</t>
  </si>
  <si>
    <t xml:space="preserve">Operational Risk Management</t>
  </si>
  <si>
    <t xml:space="preserve">The ability to identify, assess, monitor, and mitigate risks arising from inadequate or failed internal processes, people, systems, or external events. Includes loss event data collection, risk and control self-assessment (RCSA), key risk indicator (KRI) monitoring, scenario analysis, and operational risk capital calculation.</t>
  </si>
  <si>
    <t xml:space="preserve">GRC platforms (ServiceNow IRM, MetricStream, Archer), Loss event databases, KRI dashboards, Scenario analysis tools</t>
  </si>
  <si>
    <t xml:space="preserve">Operational Risk Event Management</t>
  </si>
  <si>
    <t xml:space="preserve">The ability to capture, classify, investigate, and analyze operational risk loss events and near misses, including root cause analysis, trend identification, and integration with incident management and insurance recovery processes.</t>
  </si>
  <si>
    <t xml:space="preserve">Loss event management systems, Basel event type taxonomy, Root cause analysis tools, Incident management integration</t>
  </si>
  <si>
    <t xml:space="preserve">Business Continuity and Resilience</t>
  </si>
  <si>
    <t xml:space="preserve">The ability to plan for, respond to, and recover from business disruptions including natural disasters, cyber attacks, pandemic events, and critical vendor failures. Encompasses business impact analysis, recovery strategy development, plan testing, and crisis management.</t>
  </si>
  <si>
    <t xml:space="preserve">BCP/DR platforms (Fusion Risk Management, Castellan), Crisis communication tools, DR orchestration, Cloud DR</t>
  </si>
  <si>
    <t xml:space="preserve">Liquidity Risk Management</t>
  </si>
  <si>
    <t xml:space="preserve">The ability to measure, monitor, and manage the bank's liquidity position and funding requirements under normal and stressed conditions. Includes LCR and NSFR calculation, cash flow forecasting, contingency funding planning, intraday liquidity management, and early warning indicator monitoring.</t>
  </si>
  <si>
    <t xml:space="preserve">ALM systems, Liquidity risk platforms (Moody's, Wolters Kluwer OneSumX), Cash flow forecasting, LCR/NSFR engines</t>
  </si>
  <si>
    <t xml:space="preserve">Treasury &amp; Capital Markets</t>
  </si>
  <si>
    <t xml:space="preserve">Liquidity Coverage Ratio Management</t>
  </si>
  <si>
    <t xml:space="preserve">The ability to calculate, monitor, and report the Liquidity Coverage Ratio ensuring adequate HQLA holdings relative to projected net cash outflows over a 30-day stress period, with daily monitoring and management actions to maintain compliance.</t>
  </si>
  <si>
    <t xml:space="preserve">LCR calculation engines, HQLA classification systems, Cash flow projection models, Regulatory reporting (CCAR/DFAST)</t>
  </si>
  <si>
    <t xml:space="preserve">Model Risk Management</t>
  </si>
  <si>
    <t xml:space="preserve">The ability to govern the lifecycle of quantitative models used for risk measurement, pricing, valuation, and decision-making. Includes model inventory management, independent validation, ongoing performance monitoring, model change management, and regulatory compliance with SR 11-7/SS 1/23 guidance.</t>
  </si>
  <si>
    <t xml:space="preserve">Model governance platforms (SAS Model Manager, Domino Data Lab), Model validation frameworks, MLOps platforms</t>
  </si>
  <si>
    <t xml:space="preserve">Fraud Risk Management</t>
  </si>
  <si>
    <t xml:space="preserve">The ability to prevent, detect, investigate, and recover from fraudulent activities across all banking products and channels. Includes transaction monitoring, behavioral analytics, device fingerprinting, account takeover detection, synthetic identity detection, and fraud case management.</t>
  </si>
  <si>
    <t xml:space="preserve">Fraud platforms (NICE Actimize, FICO Falcon, Featurespace ARIC), Graph analytics, Behavioral biometrics, Device fingerprinting</t>
  </si>
  <si>
    <t xml:space="preserve">Transaction Fraud Detection</t>
  </si>
  <si>
    <t xml:space="preserve">The ability to analyze payment and card transactions in real-time using ML models, rules engines, and behavioral analytics to identify and prevent fraudulent transactions while minimizing false positive rates and customer friction.</t>
  </si>
  <si>
    <t xml:space="preserve">ML fraud scoring (neural networks, GBMs), Real-time streaming analytics (Kafka, Flink), Graph neural networks, Consortium data</t>
  </si>
  <si>
    <t xml:space="preserve">Identity Fraud Prevention</t>
  </si>
  <si>
    <t xml:space="preserve">The ability to detect and prevent identity-related fraud including synthetic identity creation, account takeover, application fraud, and social engineering attacks using advanced analytics, biometrics, and device intelligence.</t>
  </si>
  <si>
    <t xml:space="preserve">Biometric verification, Device fingerprinting (ThreatMetrix), Synthetic identity detection models, Dark web monitoring</t>
  </si>
  <si>
    <t xml:space="preserve">Deepfake and Voice Fraud Detection</t>
  </si>
  <si>
    <t xml:space="preserve">The ability to detect AI-generated deepfake attacks including synthetic voice, manipulated video, and AI-generated documents used in social engineering and identity fraud attempts against banking channels.</t>
  </si>
  <si>
    <t xml:space="preserve">Low</t>
  </si>
  <si>
    <t xml:space="preserve">Deepfake detection AI, Voice biometric liveness detection, RAG-based real-time detection, Audio forensics</t>
  </si>
  <si>
    <t xml:space="preserve">Compliance and Regulatory Management</t>
  </si>
  <si>
    <t xml:space="preserve">The enterprise-wide ability to ensure adherence to all applicable laws, regulations, industry standards, and internal policies across all banking operations and jurisdictions. This capability encompasses regulatory change management, compliance monitoring and testing, regulatory reporting, anti-money laundering, sanctions screening, consumer protection compliance, and regulatory examination management. It serves as a critical control function that protects the institution from legal, financial, and reputational risk.</t>
  </si>
  <si>
    <t xml:space="preserve">GRC platforms (Wolters Kluwer, Fenergo, NICE Actimize), RegTech solutions, Regulatory reporting engines</t>
  </si>
  <si>
    <t xml:space="preserve">Anti-Money Laundering (AML)</t>
  </si>
  <si>
    <t xml:space="preserve">The ability to detect, prevent, and report money laundering and terrorist financing activities in compliance with BSA/AML regulations, EU AMLD, and FATF recommendations. Includes customer due diligence, transaction monitoring, suspicious activity reporting, and sanctions screening.</t>
  </si>
  <si>
    <t xml:space="preserve">AML platforms (NICE Actimize, SAS AML, Oracle FCCM, Featurespace), Transaction monitoring, SAR filing systems</t>
  </si>
  <si>
    <t xml:space="preserve">Transaction Monitoring</t>
  </si>
  <si>
    <t xml:space="preserve">The ability to monitor customer transactions in real-time and batch modes against configurable rules and ML models to detect patterns indicative of money laundering, terrorist financing, or other financial crimes, generating alerts for investigation.</t>
  </si>
  <si>
    <t xml:space="preserve">AML transaction monitoring (Actimize SAM, SAS AML, Featurespace ARIC), Graph analytics, Network analysis</t>
  </si>
  <si>
    <t xml:space="preserve">Suspicious Activity Reporting</t>
  </si>
  <si>
    <t xml:space="preserve">The ability to investigate AML alerts, document findings, and file Suspicious Activity Reports (SARs) with FinCEN or equivalent regulatory bodies within mandated timeframes, including case management, narrative generation, and regulatory submission.</t>
  </si>
  <si>
    <t xml:space="preserve">SAR filing systems (FinCEN BSA E-Filing), Case management, AI-assisted narrative generation, Regulatory submission portals</t>
  </si>
  <si>
    <t xml:space="preserve">Sanctions Screening</t>
  </si>
  <si>
    <t xml:space="preserve">The ability to screen customers, transactions, and counterparties against global sanctions lists (OFAC, EU, UN, HMT) in real-time and batch modes, with fuzzy matching capabilities, false positive reduction, and escalation workflows for potential matches.</t>
  </si>
  <si>
    <t xml:space="preserve">Sanctions screening (Fircosoft, NICE Actimize, Dow Jones Risk &amp; Compliance), Fuzzy matching algorithms, Watchlist management</t>
  </si>
  <si>
    <t xml:space="preserve">Customer Due Diligence (CDD/EDD)</t>
  </si>
  <si>
    <t xml:space="preserve">The ability to perform risk-based customer due diligence at onboarding and on an ongoing basis, including identity verification, beneficial ownership determination, source of wealth/funds assessment, PEP screening, and enhanced due diligence for high-risk customers.</t>
  </si>
  <si>
    <t xml:space="preserve">KYC platforms (Fenergo, Refinitiv World-Check, LexisNexis), UBO registries, Adverse media screening, Network analytics</t>
  </si>
  <si>
    <t xml:space="preserve">Regulatory Reporting</t>
  </si>
  <si>
    <t xml:space="preserve">The ability to produce, validate, and submit mandated regulatory reports to supervisory authorities including prudential reports (call reports, capital adequacy), statistical reports, transaction reports, and ad-hoc regulatory data requests. Encompasses data aggregation, calculation, validation, and submission across multiple jurisdictions.</t>
  </si>
  <si>
    <t xml:space="preserve">Regulatory reporting platforms (Wolters Kluwer OneSumX, Axiom, Moody's), XBRL reporting, Data lineage tools</t>
  </si>
  <si>
    <t xml:space="preserve">Prudential Regulatory Reporting</t>
  </si>
  <si>
    <t xml:space="preserve">The ability to calculate and report capital adequacy (Basel III/IV), leverage ratios, large exposures, and other prudential metrics to banking supervisors including FFIEC call reports, COREP/FINREP, and recovery/resolution planning data.</t>
  </si>
  <si>
    <t xml:space="preserve">Capital calculation engines, XBRL taxonomies, OneSumX, AxiomSL, Automated data lineage</t>
  </si>
  <si>
    <t xml:space="preserve">Transaction Reporting</t>
  </si>
  <si>
    <t xml:space="preserve">The ability to report securities and derivatives transactions to trade repositories and regulators as mandated by MiFID II, EMIR, Dodd-Frank, and SFTR regulations, including UTI generation, LEI management, and reconciliation with trade repositories.</t>
  </si>
  <si>
    <t xml:space="preserve">Transaction reporting platforms (Kaizen, Cappitech), Trade repositories (DTCC GTR), LEI management, UTI generation</t>
  </si>
  <si>
    <t xml:space="preserve">Regulatory Change Management</t>
  </si>
  <si>
    <t xml:space="preserve">The ability to track, assess, and implement regulatory changes across all applicable jurisdictions, including horizon scanning, impact assessment, policy and procedure updates, system changes, and compliance testing. Ensures proactive adaptation to evolving regulatory requirements.</t>
  </si>
  <si>
    <t xml:space="preserve">Regulatory intelligence (Thomson Reuters Regulatory Intelligence, Wolters Kluwer), Change management platforms, NLP for regulatory text analysis</t>
  </si>
  <si>
    <t xml:space="preserve">Consumer Protection Compliance</t>
  </si>
  <si>
    <t xml:space="preserve">The ability to ensure compliance with consumer protection regulations including fair lending (ECOA, Fair Housing), Truth in Lending (TILA), Truth in Savings, UDAAP/UDAP, and complaint handling requirements. Encompasses fair lending testing, disclosure management, and consumer complaint tracking.</t>
  </si>
  <si>
    <t xml:space="preserve">Fair lending analytics (Wolters Kluwer, ComplianceTech), Disclosure management, HMDA/CRA reporting, CFPB complaint tracking</t>
  </si>
  <si>
    <t xml:space="preserve">Treasury and Capital Markets</t>
  </si>
  <si>
    <t xml:space="preserve">The enterprise-wide ability to manage the bank's own balance sheet, funding, liquidity, investment portfolio, and capital markets activities. This capability encompasses asset-liability management, funding and capital management, investment portfolio management, trading operations, and financial market participation. It ensures the bank optimizes its financial resources while maintaining regulatory compliance and managing balance sheet risks.</t>
  </si>
  <si>
    <t xml:space="preserve">Treasury management systems (Murex, Calypso, Finastra Kondor), ALM systems, Trading platforms</t>
  </si>
  <si>
    <t xml:space="preserve">Asset-Liability Management</t>
  </si>
  <si>
    <t xml:space="preserve">The ability to manage the structure and composition of the bank's balance sheet to optimize net interest income while controlling interest rate risk, liquidity risk, and capital adequacy. Includes funds transfer pricing (FTP), NII forecasting, duration management, and balance sheet optimization.</t>
  </si>
  <si>
    <t xml:space="preserve">ALM systems (QRM, Empyrean, Kamakura, SunGard), FTP engines, NII simulation, Balance sheet optimization</t>
  </si>
  <si>
    <t xml:space="preserve">Funds Transfer Pricing</t>
  </si>
  <si>
    <t xml:space="preserve">The ability to allocate interest rate risk and liquidity costs to individual products and business units through matched-maturity FTP methodology, enabling accurate product profitability measurement and incentivizing appropriate risk-taking behavior.</t>
  </si>
  <si>
    <t xml:space="preserve">FTP engines (QRM, Empyrean, Oracle OFSAA), Yield curve construction, Liquidity premium estimation</t>
  </si>
  <si>
    <t xml:space="preserve">Net Interest Income Forecasting</t>
  </si>
  <si>
    <t xml:space="preserve">The ability to project net interest income under multiple interest rate and business volume scenarios, incorporating rate path simulations, prepayment modeling, deposit beta assumptions, and new business volume forecasts to support earnings guidance and hedging decisions.</t>
  </si>
  <si>
    <t xml:space="preserve">NII simulation engines, Monte Carlo rate path simulation, Prepayment models, Deposit behavior models</t>
  </si>
  <si>
    <t xml:space="preserve">Capital and Funding Management</t>
  </si>
  <si>
    <t xml:space="preserve">The ability to plan, source, and manage the bank's capital structure and funding profile including CET1/AT1/T2 capital instruments, wholesale funding programs, deposit gathering strategies, and capital buffer management. Ensures compliance with minimum capital requirements and supports strategic capital allocation.</t>
  </si>
  <si>
    <t xml:space="preserve">Capital planning tools, Debt issuance platforms, ICAAP frameworks, Capital allocation models</t>
  </si>
  <si>
    <t xml:space="preserve">Investment Portfolio Management</t>
  </si>
  <si>
    <t xml:space="preserve">The ability to manage the bank's own investment securities portfolio including asset allocation, security selection, risk monitoring, and accounting treatment (HTM/AFS/FV) for treasury investment activities. Encompasses government bonds, MBS, corporate bonds, and other eligible investment securities.</t>
  </si>
  <si>
    <t xml:space="preserve">Investment management systems (Bloomberg AIM, Charles River IMS), Fixed income analytics, Portfolio optimization</t>
  </si>
  <si>
    <t xml:space="preserve">Trading Operations</t>
  </si>
  <si>
    <t xml:space="preserve">The ability to execute, manage, and settle trades across financial instruments including FX, fixed income, equities, derivatives, and structured products. Encompasses order management, execution, position management, P&amp;L attribution, and trade lifecycle management.</t>
  </si>
  <si>
    <t xml:space="preserve">Trading platforms (Murex, Calypso, Finastra), FX trading (360T, Refinitiv), Algo trading engines, OMS/EMS</t>
  </si>
  <si>
    <t xml:space="preserve">Foreign Exchange Trading</t>
  </si>
  <si>
    <t xml:space="preserve">The ability to provide FX trading services to customers and manage proprietary FX positions, including spot, forward, swap, and options trading with electronic and voice execution, pricing engine management, and real-time position monitoring.</t>
  </si>
  <si>
    <t xml:space="preserve">FX ECNs (EBS, Reuters Matching), Single-dealer platforms, FX pricing engines, Algorithmic execution</t>
  </si>
  <si>
    <t xml:space="preserve">Fixed Income Trading</t>
  </si>
  <si>
    <t xml:space="preserve">The ability to trade government bonds, corporate bonds, money market instruments, and other fixed income securities for customer flow and proprietary positioning, including pricing, execution, and repo/securities lending activities.</t>
  </si>
  <si>
    <t xml:space="preserve">Fixed income platforms (Tradeweb, Bloomberg, MarketAxess), Repo trading systems, Electronic trading</t>
  </si>
  <si>
    <t xml:space="preserve">Lending and Credit</t>
  </si>
  <si>
    <t xml:space="preserve">The enterprise-wide ability to originate, underwrite, approve, fund, and manage credit products across retail and commercial segments. This capability encompasses the complete credit lifecycle from application through disbursement, including credit risk assessment, pricing, documentation, collateral management, and portfolio monitoring. It generates a primary revenue stream through net interest margin and fee income while managing credit quality within risk appetite.</t>
  </si>
  <si>
    <t xml:space="preserve">Loan origination systems (nCino, Blend, Encompass), Credit decisioning (FICO, Experian), Underwriting platforms</t>
  </si>
  <si>
    <t xml:space="preserve">Loan Origination</t>
  </si>
  <si>
    <t xml:space="preserve">The ability to receive, process, and decision loan applications across all lending products (mortgage, personal, auto, commercial, credit card) through digital and traditional channels. Includes application intake, data verification, credit assessment, pricing, approval/decline, and commitment letter generation.</t>
  </si>
  <si>
    <t xml:space="preserve">LOS platforms (nCino, Blend, Encompass, Temenos), Digital application portals, Credit bureau integration, e-signature</t>
  </si>
  <si>
    <t xml:space="preserve">Mortgage Origination</t>
  </si>
  <si>
    <t xml:space="preserve">The ability to originate residential mortgage loans including application processing, income/asset verification, property appraisal management, title/insurance coordination, regulatory disclosure delivery (TRID), underwriting, closing coordination, and secondary market delivery.</t>
  </si>
  <si>
    <t xml:space="preserve">Mortgage LOS (Encompass, Blend, Black Knight Empower), AUS (DU, LP), Appraisal management, eClosing</t>
  </si>
  <si>
    <t xml:space="preserve">Consumer Lending Origination</t>
  </si>
  <si>
    <t xml:space="preserve">The ability to originate personal loans, auto loans, student loans, and other consumer credit products with automated credit decisioning, instant approval capabilities, and digital fulfillment including e-signing and electronic fund disbursement.</t>
  </si>
  <si>
    <t xml:space="preserve">Digital lending platforms (Upstart, LendingClub), Instant decisioning engines, Alternative data scoring, API-based funding</t>
  </si>
  <si>
    <t xml:space="preserve">Commercial Credit Origination</t>
  </si>
  <si>
    <t xml:space="preserve">The ability to originate commercial and corporate lending facilities including financial statement analysis, cash flow modeling, collateral assessment, covenant structuring, credit committee presentation, and facility documentation for term loans, revolvers, and specialized lending.</t>
  </si>
  <si>
    <t xml:space="preserve">Commercial LOS (nCino, Finastra), Financial spreading (Moody's, S&amp;P), Cash flow modeling, Credit memo automation</t>
  </si>
  <si>
    <t xml:space="preserve">Credit Underwriting</t>
  </si>
  <si>
    <t xml:space="preserve">The ability to evaluate and decision credit applications based on comprehensive risk assessment including financial analysis, collateral valuation, capacity assessment, character evaluation, and conditions analysis. Supports both automated decisioning for standard products and manual underwriting for complex credit requests.</t>
  </si>
  <si>
    <t xml:space="preserve">Automated underwriting systems, ML credit models, Financial spreading tools, Collateral valuation systems</t>
  </si>
  <si>
    <t xml:space="preserve">Automated Underwriting</t>
  </si>
  <si>
    <t xml:space="preserve">The ability to make credit decisions automatically using rules engines and ML models for standardized lending products, delivering instant or near-instant approval decisions while meeting fair lending and regulatory requirements.</t>
  </si>
  <si>
    <t xml:space="preserve">AUS (Fannie Mae DU, Freddie Mac LP), ML decisioning, Rules engines (Blaze Advisor, Drools), Explainable AI</t>
  </si>
  <si>
    <t xml:space="preserve">Collateral Management</t>
  </si>
  <si>
    <t xml:space="preserve">The ability to value, perfect, monitor, and manage collateral securing lending facilities including real estate, equipment, inventory, accounts receivable, securities, and cash deposits. Encompasses lien perfection, periodic revaluation, margin calls, collateral substitution, and release upon loan payoff.</t>
  </si>
  <si>
    <t xml:space="preserve">Collateral management systems (Finastra, Murex), Appraisal platforms, UCC filing services, Collateral optimization</t>
  </si>
  <si>
    <t xml:space="preserve">Collections and Recovery</t>
  </si>
  <si>
    <t xml:space="preserve">The ability to manage delinquent accounts through the collections lifecycle from early-stage delinquency through charge-off and recovery, including contact strategy optimization, workout arrangements, debt restructuring, and asset recovery. Encompasses both retail and commercial collections with regulatory-compliant practices.</t>
  </si>
  <si>
    <t xml:space="preserve">Collections platforms (FICO Debt Manager, Experian PowerCurve Collections), Dialer systems, ML contact optimization, Debt sale platforms</t>
  </si>
  <si>
    <t xml:space="preserve">Early Stage Collections</t>
  </si>
  <si>
    <t xml:space="preserve">The ability to identify and contact newly delinquent accounts using optimized contact strategies, behavioral scoring, and self-cure prediction models to maximize cure rates while minimizing operational cost and customer friction.</t>
  </si>
  <si>
    <t xml:space="preserve">ML behavioral scoring, Predictive dialer, Digital collections (text, email, in-app), Self-cure prediction models</t>
  </si>
  <si>
    <t xml:space="preserve">Debt Restructuring and Workout</t>
  </si>
  <si>
    <t xml:space="preserve">The ability to negotiate, structure, and implement loan modifications, forbearance agreements, and workout plans for distressed borrowers, including financial assessment, modified payment scheduling, and regulatory-compliant documentation.</t>
  </si>
  <si>
    <t xml:space="preserve">Workout management systems, Loan modification platforms, Financial hardship assessment tools</t>
  </si>
  <si>
    <t xml:space="preserve">Wealth and Investment Management</t>
  </si>
  <si>
    <t xml:space="preserve">The enterprise-wide ability to provide comprehensive wealth management, investment advisory, brokerage, trust, and private banking services to high-net-worth, ultra-high-net-worth, and affluent customer segments. This capability encompasses financial planning, portfolio management, investment execution, trust and estate services, and alternative investment access.</t>
  </si>
  <si>
    <t xml:space="preserve">Wealth platforms (Temenos WealthSuite, SS&amp;C Advent, Broadridge), Portfolio management, Financial planning tools</t>
  </si>
  <si>
    <t xml:space="preserve">Enterprise Services</t>
  </si>
  <si>
    <t xml:space="preserve">Financial Planning and Advisory</t>
  </si>
  <si>
    <t xml:space="preserve">The ability to deliver comprehensive financial planning services including goal-based planning, retirement planning, tax optimization, estate planning, insurance needs analysis, and education funding. Supports both advisor-led and digital/robo-advisory delivery models.</t>
  </si>
  <si>
    <t xml:space="preserve">Financial planning software (eMoney, MoneyGuidePro), Robo-advisory platforms (Betterment, Wealthfront), Goal-based planning engines</t>
  </si>
  <si>
    <t xml:space="preserve">Robo-Advisory</t>
  </si>
  <si>
    <t xml:space="preserve">The ability to deliver automated, algorithm-driven investment management and financial planning services at scale, including risk profiling, portfolio construction, automated rebalancing, tax-loss harvesting, and digital goal tracking with minimal human advisor intervention.</t>
  </si>
  <si>
    <t xml:space="preserve">Robo-advisory engines (Betterment, Wealthfront, BlackRock Aladdin Wealth), MPT optimization, Tax-loss harvesting algorithms</t>
  </si>
  <si>
    <t xml:space="preserve">Portfolio Management</t>
  </si>
  <si>
    <t xml:space="preserve">The ability to construct, monitor, rebalance, and report on investment portfolios across asset classes including equities, fixed income, alternatives, and multi-asset strategies. Encompasses model portfolio management, discretionary and non-discretionary mandates, and performance attribution.</t>
  </si>
  <si>
    <t xml:space="preserve">Portfolio management systems (SS&amp;C Advent, Charles River, Bloomberg PORT), Risk analytics, Performance attribution (GIPS)</t>
  </si>
  <si>
    <t xml:space="preserve">Trust and Estate Services</t>
  </si>
  <si>
    <t xml:space="preserve">The ability to administer trust accounts, manage estate settlements, provide fiduciary services, and handle succession planning for high-net-worth clients. Includes trust accounting, distribution management, tax reporting, and regulatory compliance for fiduciary activities.</t>
  </si>
  <si>
    <t xml:space="preserve">Trust accounting systems (SEI, FIS), Estate administration platforms, Fiduciary management tools, Tax reporting (Form 1041)</t>
  </si>
  <si>
    <t xml:space="preserve">Enterprise Operations</t>
  </si>
  <si>
    <t xml:space="preserve">The enterprise-wide ability to execute and support the bank's core operational processes including transaction processing, document management, reconciliation, exception handling, and back-office operations. This capability ensures operational efficiency, accuracy, and resilience across all business lines while driving continuous process improvement and automation.</t>
  </si>
  <si>
    <t xml:space="preserve">BPM platforms (Pega, Appian, Camunda), RPA (UiPath, Blue Prism), Document management (Kofax, ABBYY), Reconciliation platforms</t>
  </si>
  <si>
    <t xml:space="preserve">Internal Operations</t>
  </si>
  <si>
    <t xml:space="preserve">Transaction Processing Operations</t>
  </si>
  <si>
    <t xml:space="preserve">The ability to process high volumes of financial transactions accurately and efficiently across all product types, including posting, settlement, confirmation, and archival. Encompasses both automated STP processing and manual exception handling with quality control.</t>
  </si>
  <si>
    <t xml:space="preserve">Core banking processing engines, STP platforms, Exception management, Quality assurance frameworks</t>
  </si>
  <si>
    <t xml:space="preserve">Check Processing</t>
  </si>
  <si>
    <t xml:space="preserve">The ability to process check deposits and payments including image capture (RDC and branch), MICR line reading, image quality analysis, duplicate detection, availability scheduling, return item processing, and check fraud detection.</t>
  </si>
  <si>
    <t xml:space="preserve">Check processing (NCR, Digital Check), Image exchange (Check 21/Substitute Check), RDC platforms, Positive Pay</t>
  </si>
  <si>
    <t xml:space="preserve">Wire Transfer Operations</t>
  </si>
  <si>
    <t xml:space="preserve">The ability to process domestic and international wire transfers including OFAC/sanctions screening, beneficiary validation, correspondent bank routing, fee calculation, and regulatory reporting with STP rates and exception handling for repair items.</t>
  </si>
  <si>
    <t xml:space="preserve">Wire processing platforms, SWIFT Alliance, Fedwire/CHIPS connectivity, Sanctions screening integration</t>
  </si>
  <si>
    <t xml:space="preserve">Reconciliation Management</t>
  </si>
  <si>
    <t xml:space="preserve">The ability to reconcile accounts, positions, and transactions across internal systems, external counterparties, custodians, and clearing houses. Includes automated matching, exception identification, break investigation, and resolution tracking with aging and escalation.</t>
  </si>
  <si>
    <t xml:space="preserve">Reconciliation platforms (SmartStream TLM, Duco, Gresham Clareti), ML matching, Automated break resolution</t>
  </si>
  <si>
    <t xml:space="preserve">Document and Content Management</t>
  </si>
  <si>
    <t xml:space="preserve">The ability to capture, classify, store, retrieve, and manage all banking documents and content including loan files, account opening packages, legal documents, correspondence, and regulatory filings throughout their retention lifecycle.</t>
  </si>
  <si>
    <t xml:space="preserve">ECM platforms (IBM FileNet, OpenText, Box), OCR/ICR (ABBYY, Kofax), AI document classification, Digital archival</t>
  </si>
  <si>
    <t xml:space="preserve">Robotic Process Automation</t>
  </si>
  <si>
    <t xml:space="preserve">The ability to automate repetitive, rules-based operational tasks using software robots, including data entry, system navigation, report generation, and cross-system data transfer. Includes bot development, orchestration, monitoring, and governance.</t>
  </si>
  <si>
    <t xml:space="preserve">RPA platforms (UiPath, Automation Anywhere, Blue Prism), Process mining (Celonis), Intelligent automation, IDP</t>
  </si>
  <si>
    <t xml:space="preserve">Service Assurance and Quality Management</t>
  </si>
  <si>
    <t xml:space="preserve">The ability to monitor, measure, and assure the quality and reliability of banking services delivered to customers and internal stakeholders. Encompasses service level management, incident management, problem management, and continuous service improvement aligned with operational resilience requirements.</t>
  </si>
  <si>
    <t xml:space="preserve">ITSM platforms (ServiceNow, BMC Helix), Service monitoring (Dynatrace, Datadog), Quality management systems</t>
  </si>
  <si>
    <t xml:space="preserve">Service Level Management</t>
  </si>
  <si>
    <t xml:space="preserve">The ability to define, monitor, and report on service level agreements (SLAs) and operational level agreements (OLAs) for banking services, including real-time SLA tracking, breach alerting, performance trending, and service improvement planning.</t>
  </si>
  <si>
    <t xml:space="preserve">ServiceNow SLM, Service monitoring dashboards, SLA tracking engines, Performance analytics</t>
  </si>
  <si>
    <t xml:space="preserve">Incident Management</t>
  </si>
  <si>
    <t xml:space="preserve">The ability to detect, log, classify, prioritize, investigate, and resolve operational and IT incidents affecting banking services, with structured escalation procedures, impact assessment, customer communication, and post-incident review processes.</t>
  </si>
  <si>
    <t xml:space="preserve">ITSM (ServiceNow, Jira Service Management), AIOps (Moogsoft, BigPanda), Automated incident detection, War room coordination</t>
  </si>
  <si>
    <t xml:space="preserve">Problem Management</t>
  </si>
  <si>
    <t xml:space="preserve">The ability to identify, analyze, and eliminate the root causes of recurring incidents and known errors to prevent future occurrences, including trend analysis, root cause investigation, known error database management, and permanent fix implementation.</t>
  </si>
  <si>
    <t xml:space="preserve">ITSM problem management modules, Root cause analysis tools (Ishikawa, 5 Whys), Known error databases</t>
  </si>
  <si>
    <t xml:space="preserve">Operational Resilience Management</t>
  </si>
  <si>
    <t xml:space="preserve">The ability to identify important business services, set impact tolerances, map operational dependencies, test resilience scenarios, and demonstrate the ability to remain within impact tolerances during severe but plausible disruptions, as required by regulators (FCA/PRA, OCC).</t>
  </si>
  <si>
    <t xml:space="preserve">Resilience testing platforms, Dependency mapping (ServiceNow CMDB), Scenario simulation, Impact tolerance frameworks</t>
  </si>
  <si>
    <t xml:space="preserve">Data and Analytics</t>
  </si>
  <si>
    <t xml:space="preserve">The enterprise-wide ability to collect, integrate, store, govern, analyze, and derive actionable insights from structured and unstructured data across all banking domains. This capability encompasses data management, business intelligence, advanced analytics, AI/ML model development, and data monetization. It serves as the strategic enabler for data-driven decision making, personalization, risk management, and regulatory compliance.</t>
  </si>
  <si>
    <t xml:space="preserve">Cloud data platforms (Snowflake, Databricks, AWS, Azure, GCP), BI tools (Tableau, Power BI), ML platforms (SageMaker, Vertex AI), Data governance</t>
  </si>
  <si>
    <t xml:space="preserve">Data Management and Governance</t>
  </si>
  <si>
    <t xml:space="preserve">The ability to establish and maintain enterprise data governance frameworks including data quality management, metadata management, data lineage, data cataloging, data privacy, and data lifecycle management. Ensures data is accurate, consistent, accessible, and compliant with regulations.</t>
  </si>
  <si>
    <t xml:space="preserve">Data governance (Collibra, Alation, Informatica), Data quality (Great Expectations, Deequ), Data catalogs, Lineage tools</t>
  </si>
  <si>
    <t xml:space="preserve">Data Quality Management</t>
  </si>
  <si>
    <t xml:space="preserve">The ability to define, measure, monitor, and improve data quality dimensions including accuracy, completeness, consistency, timeliness, and validity across all critical data elements, with automated quality rules, exception reporting, and remediation workflows.</t>
  </si>
  <si>
    <t xml:space="preserve">DQ tools (Informatica DQ, Great Expectations, Ataccama), Automated profiling, Quality dashboards, Remediation workflows</t>
  </si>
  <si>
    <t xml:space="preserve">Data Lineage and Cataloging</t>
  </si>
  <si>
    <t xml:space="preserve">The ability to document and trace the origin, movement, and transformation of data throughout the enterprise, providing transparency for regulatory compliance (BCBS 239), impact analysis, and data trust. Includes automated lineage capture and searchable data catalogs.</t>
  </si>
  <si>
    <t xml:space="preserve">Lineage tools (Collibra, Alation, Apache Atlas), Automated lineage (Manta, Solidatus), Business glossaries</t>
  </si>
  <si>
    <t xml:space="preserve">Business Intelligence and Reporting</t>
  </si>
  <si>
    <t xml:space="preserve">The ability to produce and deliver standardized and ad-hoc reports, dashboards, and visualizations for business performance monitoring, management decision support, and regulatory reporting. Includes self-service analytics capabilities for business users.</t>
  </si>
  <si>
    <t xml:space="preserve">BI platforms (Tableau, Power BI, Looker, Qlik), Data warehouses (Snowflake, Teradata, BigQuery), ETL/ELT tools</t>
  </si>
  <si>
    <t xml:space="preserve">Management Information Systems</t>
  </si>
  <si>
    <t xml:space="preserve">The ability to produce executive-level dashboards and management reports covering key performance indicators across all banking domains including financial performance, risk metrics, customer metrics, and operational efficiency measures.</t>
  </si>
  <si>
    <t xml:space="preserve">Executive dashboards, KPI scorecards, Balanced scorecard frameworks, Real-time data feeds</t>
  </si>
  <si>
    <t xml:space="preserve">Self-Service Analytics</t>
  </si>
  <si>
    <t xml:space="preserve">The ability to enable business users to access, explore, and analyze data independently without IT dependency, through intuitive tools, governed data marketplaces, and pre-built analytical models with appropriate data access controls.</t>
  </si>
  <si>
    <t xml:space="preserve">Self-service BI (Tableau, Power BI), Data democratization platforms, Governed data sandboxes, Natural language query</t>
  </si>
  <si>
    <t xml:space="preserve">Advanced Analytics and AI</t>
  </si>
  <si>
    <t xml:space="preserve">The ability to develop, deploy, and manage advanced analytical models including machine learning, deep learning, NLP, computer vision, and generative AI for predictive, prescriptive, and cognitive analytics across banking use cases.</t>
  </si>
  <si>
    <t xml:space="preserve">ML platforms (SageMaker, Vertex AI, Databricks ML), MLOps (MLflow, Kubeflow), GenAI (LLMs, RAG), Feature stores</t>
  </si>
  <si>
    <t xml:space="preserve">Predictive Analytics</t>
  </si>
  <si>
    <t xml:space="preserve">The ability to build and deploy statistical and ML models that forecast future outcomes based on historical patterns, including customer churn prediction, credit default prediction, demand forecasting, and next-best-action recommendation.</t>
  </si>
  <si>
    <t xml:space="preserve">ML frameworks (XGBoost, TensorFlow, PyTorch), AutoML platforms, Feature engineering, Model deployment pipelines</t>
  </si>
  <si>
    <t xml:space="preserve">Generative AI and LLM Applications</t>
  </si>
  <si>
    <t xml:space="preserve">The ability to leverage large language models and generative AI for banking applications including document summarization, code generation, customer communication drafting, knowledge management, research synthesis, and intelligent search across unstructured data.</t>
  </si>
  <si>
    <t xml:space="preserve">LLMs (GPT, Claude, PaLM, Llama), RAG architectures, Vector databases (Pinecone, Weaviate), Fine-tuning, Prompt engineering</t>
  </si>
  <si>
    <t xml:space="preserve">Real-Time Analytics and Streaming</t>
  </si>
  <si>
    <t xml:space="preserve">The ability to process and analyze data streams in real-time for immediate decision-making including transaction fraud scoring, real-time pricing, event-driven marketing triggers, and operational monitoring with sub-second latency requirements.</t>
  </si>
  <si>
    <t xml:space="preserve">Stream processing (Kafka, Flink, Spark Streaming), Complex event processing, Real-time feature stores, Time-series databases</t>
  </si>
  <si>
    <t xml:space="preserve">Information Technology</t>
  </si>
  <si>
    <t xml:space="preserve">The enterprise-wide ability to plan, build, run, and secure the technology infrastructure, platforms, and applications that enable all banking capabilities. This encompasses IT strategy, architecture, application development, infrastructure management, cybersecurity, cloud computing, and IT service management. It serves as the foundational technology enabler that translates business strategy into operational capability.</t>
  </si>
  <si>
    <t xml:space="preserve">Cloud platforms (AWS, Azure, GCP), DevOps (Jenkins, GitLab), Container orchestration (Kubernetes), Cybersecurity stack, ITSM</t>
  </si>
  <si>
    <t xml:space="preserve">Cybersecurity</t>
  </si>
  <si>
    <t xml:space="preserve">The ability to protect the bank's information assets, systems, and infrastructure from cyber threats through comprehensive security controls, threat detection, incident response, and security governance. Encompasses identity and access management, network security, endpoint protection, and security operations.</t>
  </si>
  <si>
    <t xml:space="preserve">SIEM (Splunk, Microsoft Sentinel), EDR (CrowdStrike, SentinelOne), IAM (Okta, CyberArk), Zero Trust Architecture</t>
  </si>
  <si>
    <t xml:space="preserve">Identity and Access Management</t>
  </si>
  <si>
    <t xml:space="preserve">The ability to manage digital identities and control access to banking systems and data based on roles, policies, and contextual risk factors. Includes authentication (MFA, FIDO2), authorization, privileged access management, and identity governance.</t>
  </si>
  <si>
    <t xml:space="preserve">IAM (Okta, Azure AD, Ping Identity), PAM (CyberArk, BeyondTrust), MFA/FIDO2, Zero Trust, IGA (SailPoint)</t>
  </si>
  <si>
    <t xml:space="preserve">Security Operations Center</t>
  </si>
  <si>
    <t xml:space="preserve">The ability to continuously monitor, detect, analyze, and respond to cybersecurity threats and incidents through a 24/7 security operations center, including threat intelligence integration, automated response playbooks, and forensic investigation capabilities.</t>
  </si>
  <si>
    <t xml:space="preserve">SIEM/SOAR (Splunk, Palo Alto XSOAR), Threat intelligence (Recorded Future, Mandiant), EDR, Network detection</t>
  </si>
  <si>
    <t xml:space="preserve">Data Protection and Encryption</t>
  </si>
  <si>
    <t xml:space="preserve">The ability to protect sensitive banking data at rest, in transit, and in use through encryption, tokenization, data masking, and data loss prevention controls. Includes key management, certificate lifecycle management, and crypto-agility for post-quantum readiness.</t>
  </si>
  <si>
    <t xml:space="preserve">HSMs (Thales, Entrust), KMS, TLS/PKI, Data masking (Delphix), DLP (Symantec, Digital Guardian), Tokenization</t>
  </si>
  <si>
    <t xml:space="preserve">Cloud Computing</t>
  </si>
  <si>
    <t xml:space="preserve">The ability to leverage public, private, and hybrid cloud platforms for compute, storage, networking, and platform services. Includes cloud migration, cloud-native application development, cloud security, FinOps (cloud cost management), and multi-cloud orchestration.</t>
  </si>
  <si>
    <t xml:space="preserve">AWS, Microsoft Azure, Google Cloud, Private cloud (VMware, OpenStack), Kubernetes, Terraform, FinOps tools</t>
  </si>
  <si>
    <t xml:space="preserve">Cloud-Native Application Development</t>
  </si>
  <si>
    <t xml:space="preserve">The ability to design, build, and deploy applications using cloud-native principles including microservices architecture, containerization, serverless computing, API-first design, and CI/CD pipelines for rapid, scalable software delivery.</t>
  </si>
  <si>
    <t xml:space="preserve">Kubernetes, Docker, Serverless (AWS Lambda, Azure Functions), Service mesh (Istio), API gateways, GitOps</t>
  </si>
  <si>
    <t xml:space="preserve">Core Banking Platform Management</t>
  </si>
  <si>
    <t xml:space="preserve">The ability to manage, maintain, and modernize the bank's core banking platform including system administration, configuration management, batch processing, data migration, and platform upgrade/replacement planning. Encompasses both legacy mainframe and modern cloud-native core banking systems.</t>
  </si>
  <si>
    <t xml:space="preserve">Core banking (Temenos T24, FIS Modern Banking, Thought Machine Vault, 10x Banking), Mainframe modernization</t>
  </si>
  <si>
    <t xml:space="preserve">Core Banking Modernization</t>
  </si>
  <si>
    <t xml:space="preserve">The ability to plan and execute the transformation of legacy core banking systems to modern, cloud-native, API-first platforms through strategies including full replacement, progressive modernization, and strangler pattern approaches.</t>
  </si>
  <si>
    <t xml:space="preserve">Cloud-native cores (Thought Machine Vault, 10x Banking, Mambu), Strangler pattern, API wrapping, Data migration tools</t>
  </si>
  <si>
    <t xml:space="preserve">API Management and Integration</t>
  </si>
  <si>
    <t xml:space="preserve">The ability to design, publish, manage, and monitor APIs for internal and external consumption, including API gateway management, developer portal operation, API lifecycle governance, and integration with Open Banking standards.</t>
  </si>
  <si>
    <t xml:space="preserve">API gateways (Apigee, Kong, MuleSoft), Developer portals, API analytics, OpenAPI/Swagger, GraphQL</t>
  </si>
  <si>
    <t xml:space="preserve">Open Banking and Partner Ecosystem</t>
  </si>
  <si>
    <t xml:space="preserve">The enterprise-wide ability to participate in open banking frameworks, manage third-party integrations, enable embedded finance, and orchestrate partner ecosystem relationships. This capability encompasses API exposure under regulatory mandates (PSD2, Section 1033), third-party provider management, Banking-as-a-Service (BaaS) offerings, and marketplace orchestration. It transforms the bank from a closed institution to a platform participant in broader financial ecosystems.</t>
  </si>
  <si>
    <t xml:space="preserve">Open Banking APIs, PSD2/PSD3 frameworks, BaaS platforms (Solarisbank, Green Dot), Partner management, API monetization</t>
  </si>
  <si>
    <t xml:space="preserve">Partner Ecosystem</t>
  </si>
  <si>
    <t xml:space="preserve">Open Banking API Exposure</t>
  </si>
  <si>
    <t xml:space="preserve">The ability to expose regulated and commercial APIs to authorized third-party providers including Account Information Service Providers (AISPs) and Payment Initiation Service Providers (PISPs), with appropriate consent management, security controls, and performance monitoring.</t>
  </si>
  <si>
    <t xml:space="preserve">Open Banking standards (UK OB, Berlin Group, STET), FAPI security profiles, Consent management, API monitoring</t>
  </si>
  <si>
    <t xml:space="preserve">Account Information Services</t>
  </si>
  <si>
    <t xml:space="preserve">The ability to provide authorized third-party AISPs with secure access to customer account data including balances, transactions, and account details under customer consent, supporting aggregation, PFM, and lending use cases.</t>
  </si>
  <si>
    <t xml:space="preserve">PSD2/PSD3 AIS APIs, Berlin Group NextGenPSD2, UK Open Banking Standards, FDX (US), Screen scraping replacement</t>
  </si>
  <si>
    <t xml:space="preserve">Payment Initiation Services</t>
  </si>
  <si>
    <t xml:space="preserve">The ability to allow authorized PISPs to initiate payments from customer accounts under customer consent, supporting account-to-account payment flows for e-commerce, bill payment, and P2P transfer use cases.</t>
  </si>
  <si>
    <t xml:space="preserve">PSD2 PIS APIs, Open Banking payment APIs, Variable recurring payments (VRP), A2A payment rails</t>
  </si>
  <si>
    <t xml:space="preserve">Banking-as-a-Service (BaaS)</t>
  </si>
  <si>
    <t xml:space="preserve">The ability to offer core banking capabilities as modular, API-accessible services to third-party brands, fintechs, and non-financial companies for embedded finance use cases. Includes white-label account services, card issuance, lending, and payment processing as platform services.</t>
  </si>
  <si>
    <t xml:space="preserve">BaaS platforms (Solarisbank, Green Dot, Column, Unit), Modular banking APIs, White-label services, Sponsor bank frameworks</t>
  </si>
  <si>
    <t xml:space="preserve">Embedded Finance Enablement</t>
  </si>
  <si>
    <t xml:space="preserve">The ability to embed banking products and services into non-financial customer journeys and platforms, including point-of-sale lending, embedded insurance, in-app payments, and contextual financial services delivered through partner integrations.</t>
  </si>
  <si>
    <t xml:space="preserve">Embedded finance APIs, POS lending integration, Insurance embedding, Contextual banking widgets, iPaaS platforms</t>
  </si>
  <si>
    <t xml:space="preserve">Digital Asset and DeFi Integration</t>
  </si>
  <si>
    <t xml:space="preserve">The ability to support digital assets including cryptocurrency custody, tokenized asset management, stablecoin integration, and selective decentralized finance (DeFi) protocol interaction within the bank's regulated framework.</t>
  </si>
  <si>
    <t xml:space="preserve">Crypto custody (Fireblocks, BitGo), Blockchain networks (Ethereum, Solana), Stablecoin rails, Tokenization platforms</t>
  </si>
  <si>
    <t xml:space="preserve">Digital Asset Custody</t>
  </si>
  <si>
    <t xml:space="preserve">The ability to securely store, manage, and transact digital assets on behalf of customers, including key management, wallet infrastructure, blockchain transaction signing, and regulatory-compliant custody controls.</t>
  </si>
  <si>
    <t xml:space="preserve">Institutional custody (Fireblocks, BitGo, Anchorage), HSM key management, MPC wallets, On-chain monitoring</t>
  </si>
  <si>
    <t xml:space="preserve">Asset Tokenization</t>
  </si>
  <si>
    <t xml:space="preserve">The ability to create, manage, and trade tokenized representations of real-world assets (real estate, securities, commodities) on blockchain infrastructure, enabling fractional ownership, programmable compliance, and enhanced liquidity.</t>
  </si>
  <si>
    <t xml:space="preserve">Tokenization platforms (Securitize, Polymath), Smart contracts (Solidity), Security token standards (ERC-1400), DLT</t>
  </si>
  <si>
    <t xml:space="preserve">Enterprise Support Services</t>
  </si>
  <si>
    <t xml:space="preserve">The enterprise-wide ability to provide shared corporate functions that enable all banking operations including human resource management, finance and accounting, legal services, procurement, facilities management, and corporate strategy. These capabilities are essential for organizational governance, operational efficiency, and strategic direction but are not directly customer-facing.</t>
  </si>
  <si>
    <t xml:space="preserve">ERP (SAP, Oracle), HCM (Workday, SuccessFactors), Procurement (Coupa, Ariba), Legal tech, Corporate performance management</t>
  </si>
  <si>
    <t xml:space="preserve">Human Capital Management</t>
  </si>
  <si>
    <t xml:space="preserve">The ability to attract, develop, engage, and retain talent across the banking organization, including workforce planning, recruitment, learning and development, performance management, compensation administration, and succession planning.</t>
  </si>
  <si>
    <t xml:space="preserve">HCM platforms (Workday, SAP SuccessFactors), ATS (Greenhouse), LMS (Cornerstone), Performance management</t>
  </si>
  <si>
    <t xml:space="preserve">Financial Management and Accounting</t>
  </si>
  <si>
    <t xml:space="preserve">The ability to manage the bank's financial operations including general ledger management, accounts payable/receivable, management accounting, financial close, tax management, and external financial reporting under GAAP/IFRS standards.</t>
  </si>
  <si>
    <t xml:space="preserve">ERP (SAP S/4HANA, Oracle Cloud), GL systems, Subledger accounting, Financial close (BlackLine), Tax engines</t>
  </si>
  <si>
    <t xml:space="preserve">Vendor and Procurement Management</t>
  </si>
  <si>
    <t xml:space="preserve">The ability to source, evaluate, contract, and manage third-party vendors and suppliers, including vendor risk assessment, contract lifecycle management, SLA monitoring, and concentration risk management for critical outsourced services.</t>
  </si>
  <si>
    <t xml:space="preserve">Procurement (Coupa, SAP Ariba), Vendor risk management (ProcessUnity, OneTrust), CLM (Icertis), Third-party risk</t>
  </si>
  <si>
    <t xml:space="preserve">Corporate Strategy and Planning</t>
  </si>
  <si>
    <t xml:space="preserve">The ability to develop, communicate, and execute the bank's strategic plans including strategic analysis, business case development, M&amp;A evaluation, market entry assessment, and strategic initiative portfolio management with performance tracking.</t>
  </si>
  <si>
    <t xml:space="preserve">Strategy management (Planview, Aha!), Balanced scorecard, Scenario planning tools, Portfolio management</t>
  </si>
  <si>
    <t xml:space="preserve">ESG and Sustainability Management</t>
  </si>
  <si>
    <t xml:space="preserve">The ability to measure, manage, and report on environmental, social, and governance factors across the bank's operations, lending portfolio, and investment activities. Includes carbon footprint tracking, ESG risk scoring of borrowers, sustainable finance product development, and regulatory ESG disclosure.</t>
  </si>
  <si>
    <t xml:space="preserve">ESG data platforms (MSCI ESG, Sustainalytics, Bloomberg ESG), Carbon accounting (Persefoni), Green bond frameworks, TCFD/CSRD reporting</t>
  </si>
  <si>
    <t xml:space="preserve">ESG Risk Scoring</t>
  </si>
  <si>
    <t xml:space="preserve">The ability to assess and score the ESG risk profile of borrowers, counterparties, and investment holdings using structured ESG data, alternative data sources, and AI models to inform credit decisions, portfolio construction, and regulatory reporting.</t>
  </si>
  <si>
    <t xml:space="preserve">ESG scoring models (MSCI, Sustainalytics), NLP for ESG news analysis, Climate risk models, Transition risk assessment</t>
  </si>
  <si>
    <t xml:space="preserve">Sustainable Finance Product Management</t>
  </si>
  <si>
    <t xml:space="preserve">The ability to design, price, and manage green bonds, sustainability-linked loans, social bonds, and other ESG-labeled financial products with use-of-proceeds tracking, impact measurement, and external verification.</t>
  </si>
  <si>
    <t xml:space="preserve">Green bond frameworks (ICMA), Impact measurement, Use-of-proceeds tracking, External review/assurance</t>
  </si>
  <si>
    <t xml:space="preserve">Climate Risk Assessment</t>
  </si>
  <si>
    <t xml:space="preserve">The ability to model and assess physical and transition climate risks across the bank's loan portfolio and investment holdings, including scenario analysis under NGFS pathways, stress testing, and regulatory climate disclosure (TCFD, CSRD, SEC climate rules).</t>
  </si>
  <si>
    <t xml:space="preserve">Climate risk models (Moody's, S&amp;P Trucost), NGFS scenarios, Physical risk geospatial data, Transition pathway analysis</t>
  </si>
  <si>
    <t xml:space="preserve">Trade Finance and Supply Chain Finance</t>
  </si>
  <si>
    <t xml:space="preserve">The enterprise-wide ability to facilitate domestic and international trade through structured financial instruments and supply chain financing solutions. This capability encompasses letters of credit, documentary collections, guarantees, supply chain finance programs, and trade-related compliance. It serves commercial and corporate banking clients engaged in domestic and cross-border trade.</t>
  </si>
  <si>
    <t xml:space="preserve">Trade finance platforms (Finastra, China Systems), Blockchain trade networks (Contour, Marco Polo), Supply chain finance (PrimeRevenue, Taulia)</t>
  </si>
  <si>
    <t xml:space="preserve">Documentary Trade Finance</t>
  </si>
  <si>
    <t xml:space="preserve">The ability to issue, advise, confirm, and settle letters of credit and documentary collections in compliance with UCP 600 and URC 522 rules, including document examination, discrepancy management, and trade-related payment processing.</t>
  </si>
  <si>
    <t xml:space="preserve">Trade finance systems (Finastra, CGI Trade360), SWIFT MT7xx messages, Document imaging, ICC rules engines</t>
  </si>
  <si>
    <t xml:space="preserve">Letter of Credit Management</t>
  </si>
  <si>
    <t xml:space="preserve">The ability to manage the full lifecycle of import and export letters of credit including issuance, amendment, document examination against LC terms, discrepancy handling, acceptance, and settlement with multi-currency and multi-bank processing.</t>
  </si>
  <si>
    <t xml:space="preserve">LC processing systems, SWIFT MT700 series, Document checking automation (AI/ML), UCP 600 rules engine</t>
  </si>
  <si>
    <t xml:space="preserve">Supply Chain Finance</t>
  </si>
  <si>
    <t xml:space="preserve">The ability to provide financing solutions across the supply chain including reverse factoring (approved payables finance), dynamic discounting, receivables financing, and inventory financing, enabling buyers and suppliers to optimize working capital.</t>
  </si>
  <si>
    <t xml:space="preserve">SCF platforms (PrimeRevenue, Taulia, C2FO), Reverse factoring, Dynamic discounting, Blockchain-based SCF</t>
  </si>
  <si>
    <t xml:space="preserve">Trade Compliance</t>
  </si>
  <si>
    <t xml:space="preserve">The ability to ensure trade transactions comply with export control regulations, trade sanctions, dual-use goods restrictions, and anti-boycott rules. Includes automated trade compliance screening, license management, and regulatory reporting for cross-border trade.</t>
  </si>
  <si>
    <t xml:space="preserve">Trade compliance screening (Dow Jones, Fircosoft), Export control databases (BIS, OFAC), Dual-use goods classification, Sanctions screening</t>
  </si>
  <si>
    <t xml:space="preserve">Banking Capability Map - Summary Dashboard</t>
  </si>
  <si>
    <t xml:space="preserve">Metric</t>
  </si>
  <si>
    <t xml:space="preserve">Count</t>
  </si>
  <si>
    <t xml:space="preserve">Total Capabilities</t>
  </si>
  <si>
    <t xml:space="preserve">L1 Capabilities</t>
  </si>
  <si>
    <t xml:space="preserve">L2 Capabilities</t>
  </si>
  <si>
    <t xml:space="preserve">L3 Capabilities</t>
  </si>
  <si>
    <t xml:space="preserve">L4 Capabilities</t>
  </si>
  <si>
    <t xml:space="preserve">AI Infused Capabilities</t>
  </si>
  <si>
    <t xml:space="preserve">Non-AI Capabilities</t>
  </si>
  <si>
    <t xml:space="preserve">Maturity Distribution</t>
  </si>
  <si>
    <t xml:space="preserve">Function Category Distribution</t>
  </si>
  <si>
    <t xml:space="preserve">L1 Domain</t>
  </si>
  <si>
    <t xml:space="preserve">Description</t>
  </si>
  <si>
    <t xml:space="preserve">L2 Count</t>
  </si>
  <si>
    <t xml:space="preserve">Capability Function</t>
  </si>
  <si>
    <t xml:space="preserve">The enterprise-wide ability to initiate, process, route, clear, settle, and reconcile all forms of monetary transactions across retail, commercial, and interbank channels. This capability encompasses ...</t>
  </si>
  <si>
    <t xml:space="preserve">The enterprise-wide ability to create, maintain, service, and close all types of customer accounts across retail, commercial, and institutional banking segments. This capability spans the complete acc...</t>
  </si>
  <si>
    <t xml:space="preserve">The enterprise-wide ability to acquire, onboard, understand, engage, serve, retain, and grow customer relationships across all segments (retail, mass affluent, HNW, SME, corporate, institutional). Thi...</t>
  </si>
  <si>
    <t xml:space="preserve">The enterprise-wide ability to identify, measure, monitor, mitigate, and report all categories of risk including credit risk, market risk, operational risk, liquidity risk, model risk, cyber risk, and...</t>
  </si>
  <si>
    <t xml:space="preserve">The enterprise-wide ability to ensure adherence to all applicable laws, regulations, industry standards, and internal policies across all banking operations and jurisdictions. This capability encompas...</t>
  </si>
  <si>
    <t xml:space="preserve">The enterprise-wide ability to manage the bank's own balance sheet, funding, liquidity, investment portfolio, and capital markets activities. This capability encompasses asset-liability management, fu...</t>
  </si>
  <si>
    <t xml:space="preserve">The enterprise-wide ability to originate, underwrite, approve, fund, and manage credit products across retail and commercial segments. This capability encompasses the complete credit lifecycle from ap...</t>
  </si>
  <si>
    <t xml:space="preserve">The enterprise-wide ability to provide comprehensive wealth management, investment advisory, brokerage, trust, and private banking services to high-net-worth, ultra-high-net-worth, and affluent custom...</t>
  </si>
  <si>
    <t xml:space="preserve">The enterprise-wide ability to execute and support the bank's core operational processes including transaction processing, document management, reconciliation, exception handling, and back-office oper...</t>
  </si>
  <si>
    <t xml:space="preserve">The enterprise-wide ability to collect, integrate, store, govern, analyze, and derive actionable insights from structured and unstructured data across all banking domains. This capability encompasses ...</t>
  </si>
  <si>
    <t xml:space="preserve">The enterprise-wide ability to plan, build, run, and secure the technology infrastructure, platforms, and applications that enable all banking capabilities. This encompasses IT strategy, architecture,...</t>
  </si>
  <si>
    <t xml:space="preserve">The enterprise-wide ability to participate in open banking frameworks, manage third-party integrations, enable embedded finance, and orchestrate partner ecosystem relationships. This capability encomp...</t>
  </si>
  <si>
    <t xml:space="preserve">The enterprise-wide ability to provide shared corporate functions that enable all banking operations including human resource management, finance and accounting, legal services, procurement, facilitie...</t>
  </si>
  <si>
    <t xml:space="preserve">The enterprise-wide ability to facilitate domestic and international trade through structured financial instruments and supply chain financing solutions. This capability encompasses letters of credit,...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</si>
</sst>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1F4E79"/>
      <name val="Arial"/>
      <family val="0"/>
      <charset val="1"/>
    </font>
    <font>
      <b val="true"/>
      <sz val="10"/>
      <color rgb="FF2E75B6"/>
      <name val="Arial"/>
      <family val="0"/>
      <charset val="1"/>
    </font>
    <font>
      <sz val="10"/>
      <name val="Arial"/>
      <family val="0"/>
      <charset val="1"/>
    </font>
    <font>
      <sz val="9"/>
      <color rgb="FF444444"/>
      <name val="Arial"/>
      <family val="0"/>
      <charset val="1"/>
    </font>
    <font>
      <b val="true"/>
      <sz val="14"/>
      <color rgb="FF1F4E79"/>
      <name val="Arial"/>
      <family val="0"/>
      <charset val="1"/>
    </font>
    <font>
      <sz val="9"/>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D6E4F0"/>
        <bgColor rgb="FFE9F0F7"/>
      </patternFill>
    </fill>
    <fill>
      <patternFill patternType="solid">
        <fgColor rgb="FFE9F0F7"/>
        <bgColor rgb="FFF5F8FC"/>
      </patternFill>
    </fill>
    <fill>
      <patternFill patternType="solid">
        <fgColor rgb="FFF5F8FC"/>
        <bgColor rgb="FFFFFFFF"/>
      </patternFill>
    </fill>
    <fill>
      <patternFill patternType="solid">
        <fgColor rgb="FFFFFFFF"/>
        <bgColor rgb="FFF5F8FC"/>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D6E4F0"/>
          <bgColor rgb="FF000000"/>
        </patternFill>
      </fill>
    </dxf>
    <dxf>
      <fill>
        <patternFill patternType="solid">
          <fgColor rgb="FFE9F0F7"/>
          <bgColor rgb="FF000000"/>
        </patternFill>
      </fill>
    </dxf>
    <dxf>
      <fill>
        <patternFill patternType="solid">
          <fgColor rgb="FFF5F8FC"/>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444444"/>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5F8FC"/>
      <rgbColor rgb="FFE9F0F7"/>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5"/>
    <col collapsed="false" customWidth="true" hidden="false" outlineLevel="0" max="4" min="4" style="0" width="80"/>
    <col collapsed="false" customWidth="true" hidden="false" outlineLevel="0" max="6" min="5" style="0" width="18"/>
    <col collapsed="false" customWidth="true" hidden="false" outlineLevel="0" max="7" min="7" style="0" width="16"/>
    <col collapsed="false" customWidth="true" hidden="false" outlineLevel="0" max="8" min="8" style="0" width="50"/>
    <col collapsed="false" customWidth="true" hidden="false" outlineLevel="0" max="9" min="9"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60" hidden="false" customHeight="true" outlineLevel="0" collapsed="false">
      <c r="A2" s="2" t="s">
        <v>9</v>
      </c>
      <c r="B2" s="2" t="s">
        <v>10</v>
      </c>
      <c r="C2" s="2" t="s">
        <v>11</v>
      </c>
      <c r="D2" s="2" t="s">
        <v>12</v>
      </c>
      <c r="E2" s="2" t="s">
        <v>13</v>
      </c>
      <c r="F2" s="2" t="s">
        <v>14</v>
      </c>
      <c r="G2" s="2" t="s">
        <v>15</v>
      </c>
      <c r="H2" s="2" t="s">
        <v>16</v>
      </c>
      <c r="I2" s="2" t="s">
        <v>17</v>
      </c>
    </row>
    <row r="3" customFormat="false" ht="60" hidden="false" customHeight="true" outlineLevel="0" collapsed="false">
      <c r="A3" s="3" t="s">
        <v>18</v>
      </c>
      <c r="B3" s="3" t="s">
        <v>19</v>
      </c>
      <c r="C3" s="3" t="s">
        <v>10</v>
      </c>
      <c r="D3" s="3" t="s">
        <v>20</v>
      </c>
      <c r="E3" s="3" t="s">
        <v>13</v>
      </c>
      <c r="F3" s="3" t="s">
        <v>14</v>
      </c>
      <c r="G3" s="3" t="s">
        <v>15</v>
      </c>
      <c r="H3" s="3" t="s">
        <v>21</v>
      </c>
      <c r="I3" s="3" t="s">
        <v>17</v>
      </c>
    </row>
    <row r="4" customFormat="false" ht="45" hidden="false" customHeight="true" outlineLevel="0" collapsed="false">
      <c r="A4" s="4" t="s">
        <v>22</v>
      </c>
      <c r="B4" s="4" t="s">
        <v>23</v>
      </c>
      <c r="C4" s="4" t="s">
        <v>19</v>
      </c>
      <c r="D4" s="4" t="s">
        <v>24</v>
      </c>
      <c r="E4" s="4" t="s">
        <v>13</v>
      </c>
      <c r="F4" s="4" t="s">
        <v>14</v>
      </c>
      <c r="G4" s="4" t="s">
        <v>25</v>
      </c>
      <c r="H4" s="4" t="s">
        <v>26</v>
      </c>
      <c r="I4" s="4" t="s">
        <v>17</v>
      </c>
    </row>
    <row r="5" customFormat="false" ht="45" hidden="false" customHeight="true" outlineLevel="0" collapsed="false">
      <c r="A5" s="5" t="s">
        <v>27</v>
      </c>
      <c r="B5" s="5" t="s">
        <v>28</v>
      </c>
      <c r="C5" s="5" t="s">
        <v>23</v>
      </c>
      <c r="D5" s="5" t="s">
        <v>29</v>
      </c>
      <c r="E5" s="5" t="s">
        <v>13</v>
      </c>
      <c r="F5" s="5" t="s">
        <v>14</v>
      </c>
      <c r="G5" s="5" t="s">
        <v>25</v>
      </c>
      <c r="H5" s="5" t="s">
        <v>30</v>
      </c>
      <c r="I5" s="5" t="s">
        <v>17</v>
      </c>
    </row>
    <row r="6" customFormat="false" ht="45" hidden="false" customHeight="true" outlineLevel="0" collapsed="false">
      <c r="A6" s="5" t="s">
        <v>27</v>
      </c>
      <c r="B6" s="5" t="s">
        <v>31</v>
      </c>
      <c r="C6" s="5" t="s">
        <v>23</v>
      </c>
      <c r="D6" s="5" t="s">
        <v>32</v>
      </c>
      <c r="E6" s="5" t="s">
        <v>33</v>
      </c>
      <c r="F6" s="5" t="s">
        <v>34</v>
      </c>
      <c r="G6" s="5" t="s">
        <v>35</v>
      </c>
      <c r="H6" s="5" t="s">
        <v>36</v>
      </c>
      <c r="I6" s="5" t="s">
        <v>17</v>
      </c>
    </row>
    <row r="7" customFormat="false" ht="45" hidden="false" customHeight="true" outlineLevel="0" collapsed="false">
      <c r="A7" s="4" t="s">
        <v>22</v>
      </c>
      <c r="B7" s="4" t="s">
        <v>37</v>
      </c>
      <c r="C7" s="4" t="s">
        <v>19</v>
      </c>
      <c r="D7" s="4" t="s">
        <v>38</v>
      </c>
      <c r="E7" s="4" t="s">
        <v>13</v>
      </c>
      <c r="F7" s="4" t="s">
        <v>34</v>
      </c>
      <c r="G7" s="4" t="s">
        <v>39</v>
      </c>
      <c r="H7" s="4" t="s">
        <v>40</v>
      </c>
      <c r="I7" s="4" t="s">
        <v>17</v>
      </c>
    </row>
    <row r="8" customFormat="false" ht="45" hidden="false" customHeight="true" outlineLevel="0" collapsed="false">
      <c r="A8" s="5" t="s">
        <v>27</v>
      </c>
      <c r="B8" s="5" t="s">
        <v>41</v>
      </c>
      <c r="C8" s="5" t="s">
        <v>37</v>
      </c>
      <c r="D8" s="5" t="s">
        <v>42</v>
      </c>
      <c r="E8" s="5" t="s">
        <v>13</v>
      </c>
      <c r="F8" s="5" t="s">
        <v>34</v>
      </c>
      <c r="G8" s="5" t="s">
        <v>39</v>
      </c>
      <c r="H8" s="5" t="s">
        <v>43</v>
      </c>
      <c r="I8" s="5" t="s">
        <v>17</v>
      </c>
    </row>
    <row r="9" customFormat="false" ht="45" hidden="false" customHeight="true" outlineLevel="0" collapsed="false">
      <c r="A9" s="5" t="s">
        <v>27</v>
      </c>
      <c r="B9" s="5" t="s">
        <v>44</v>
      </c>
      <c r="C9" s="5" t="s">
        <v>37</v>
      </c>
      <c r="D9" s="5" t="s">
        <v>45</v>
      </c>
      <c r="E9" s="5" t="s">
        <v>13</v>
      </c>
      <c r="F9" s="5" t="s">
        <v>34</v>
      </c>
      <c r="G9" s="5" t="s">
        <v>39</v>
      </c>
      <c r="H9" s="5" t="s">
        <v>46</v>
      </c>
      <c r="I9" s="5" t="s">
        <v>17</v>
      </c>
    </row>
    <row r="10" customFormat="false" ht="45" hidden="false" customHeight="true" outlineLevel="0" collapsed="false">
      <c r="A10" s="4" t="s">
        <v>22</v>
      </c>
      <c r="B10" s="4" t="s">
        <v>47</v>
      </c>
      <c r="C10" s="4" t="s">
        <v>19</v>
      </c>
      <c r="D10" s="4" t="s">
        <v>48</v>
      </c>
      <c r="E10" s="4" t="s">
        <v>13</v>
      </c>
      <c r="F10" s="4" t="s">
        <v>14</v>
      </c>
      <c r="G10" s="4" t="s">
        <v>15</v>
      </c>
      <c r="H10" s="4" t="s">
        <v>49</v>
      </c>
      <c r="I10" s="4" t="s">
        <v>17</v>
      </c>
    </row>
    <row r="11" customFormat="false" ht="45" hidden="false" customHeight="true" outlineLevel="0" collapsed="false">
      <c r="A11" s="5" t="s">
        <v>27</v>
      </c>
      <c r="B11" s="5" t="s">
        <v>50</v>
      </c>
      <c r="C11" s="5" t="s">
        <v>47</v>
      </c>
      <c r="D11" s="5" t="s">
        <v>51</v>
      </c>
      <c r="E11" s="5" t="s">
        <v>13</v>
      </c>
      <c r="F11" s="5" t="s">
        <v>14</v>
      </c>
      <c r="G11" s="5" t="s">
        <v>15</v>
      </c>
      <c r="H11" s="5" t="s">
        <v>52</v>
      </c>
      <c r="I11" s="5" t="s">
        <v>17</v>
      </c>
    </row>
    <row r="12" customFormat="false" ht="45" hidden="false" customHeight="true" outlineLevel="0" collapsed="false">
      <c r="A12" s="5" t="s">
        <v>27</v>
      </c>
      <c r="B12" s="5" t="s">
        <v>53</v>
      </c>
      <c r="C12" s="5" t="s">
        <v>47</v>
      </c>
      <c r="D12" s="5" t="s">
        <v>54</v>
      </c>
      <c r="E12" s="5" t="s">
        <v>13</v>
      </c>
      <c r="F12" s="5" t="s">
        <v>34</v>
      </c>
      <c r="G12" s="5" t="s">
        <v>39</v>
      </c>
      <c r="H12" s="5" t="s">
        <v>55</v>
      </c>
      <c r="I12" s="5" t="s">
        <v>17</v>
      </c>
    </row>
    <row r="13" customFormat="false" ht="45" hidden="false" customHeight="true" outlineLevel="0" collapsed="false">
      <c r="A13" s="5" t="s">
        <v>27</v>
      </c>
      <c r="B13" s="5" t="s">
        <v>56</v>
      </c>
      <c r="C13" s="5" t="s">
        <v>47</v>
      </c>
      <c r="D13" s="5" t="s">
        <v>57</v>
      </c>
      <c r="E13" s="5" t="s">
        <v>13</v>
      </c>
      <c r="F13" s="5" t="s">
        <v>14</v>
      </c>
      <c r="G13" s="5" t="s">
        <v>15</v>
      </c>
      <c r="H13" s="5" t="s">
        <v>58</v>
      </c>
      <c r="I13" s="5" t="s">
        <v>17</v>
      </c>
    </row>
    <row r="14" customFormat="false" ht="60" hidden="false" customHeight="true" outlineLevel="0" collapsed="false">
      <c r="A14" s="3" t="s">
        <v>18</v>
      </c>
      <c r="B14" s="3" t="s">
        <v>59</v>
      </c>
      <c r="C14" s="3" t="s">
        <v>10</v>
      </c>
      <c r="D14" s="3" t="s">
        <v>60</v>
      </c>
      <c r="E14" s="3" t="s">
        <v>13</v>
      </c>
      <c r="F14" s="3" t="s">
        <v>34</v>
      </c>
      <c r="G14" s="3" t="s">
        <v>15</v>
      </c>
      <c r="H14" s="3" t="s">
        <v>61</v>
      </c>
      <c r="I14" s="3" t="s">
        <v>17</v>
      </c>
    </row>
    <row r="15" customFormat="false" ht="45" hidden="false" customHeight="true" outlineLevel="0" collapsed="false">
      <c r="A15" s="4" t="s">
        <v>22</v>
      </c>
      <c r="B15" s="4" t="s">
        <v>62</v>
      </c>
      <c r="C15" s="4" t="s">
        <v>59</v>
      </c>
      <c r="D15" s="4" t="s">
        <v>63</v>
      </c>
      <c r="E15" s="4" t="s">
        <v>13</v>
      </c>
      <c r="F15" s="4" t="s">
        <v>34</v>
      </c>
      <c r="G15" s="4" t="s">
        <v>39</v>
      </c>
      <c r="H15" s="4" t="s">
        <v>64</v>
      </c>
      <c r="I15" s="4" t="s">
        <v>17</v>
      </c>
    </row>
    <row r="16" customFormat="false" ht="45" hidden="false" customHeight="true" outlineLevel="0" collapsed="false">
      <c r="A16" s="4" t="s">
        <v>22</v>
      </c>
      <c r="B16" s="4" t="s">
        <v>65</v>
      </c>
      <c r="C16" s="4" t="s">
        <v>59</v>
      </c>
      <c r="D16" s="4" t="s">
        <v>66</v>
      </c>
      <c r="E16" s="4" t="s">
        <v>13</v>
      </c>
      <c r="F16" s="4" t="s">
        <v>34</v>
      </c>
      <c r="G16" s="4" t="s">
        <v>15</v>
      </c>
      <c r="H16" s="4" t="s">
        <v>67</v>
      </c>
      <c r="I16" s="4" t="s">
        <v>17</v>
      </c>
    </row>
    <row r="17" customFormat="false" ht="60" hidden="false" customHeight="true" outlineLevel="0" collapsed="false">
      <c r="A17" s="3" t="s">
        <v>18</v>
      </c>
      <c r="B17" s="3" t="s">
        <v>68</v>
      </c>
      <c r="C17" s="3" t="s">
        <v>10</v>
      </c>
      <c r="D17" s="3" t="s">
        <v>69</v>
      </c>
      <c r="E17" s="3" t="s">
        <v>13</v>
      </c>
      <c r="F17" s="3" t="s">
        <v>34</v>
      </c>
      <c r="G17" s="3" t="s">
        <v>15</v>
      </c>
      <c r="H17" s="3" t="s">
        <v>70</v>
      </c>
      <c r="I17" s="3" t="s">
        <v>17</v>
      </c>
    </row>
    <row r="18" customFormat="false" ht="45" hidden="false" customHeight="true" outlineLevel="0" collapsed="false">
      <c r="A18" s="4" t="s">
        <v>22</v>
      </c>
      <c r="B18" s="4" t="s">
        <v>71</v>
      </c>
      <c r="C18" s="4" t="s">
        <v>68</v>
      </c>
      <c r="D18" s="4" t="s">
        <v>72</v>
      </c>
      <c r="E18" s="4" t="s">
        <v>13</v>
      </c>
      <c r="F18" s="4" t="s">
        <v>34</v>
      </c>
      <c r="G18" s="4" t="s">
        <v>15</v>
      </c>
      <c r="H18" s="4" t="s">
        <v>73</v>
      </c>
      <c r="I18" s="4" t="s">
        <v>17</v>
      </c>
    </row>
    <row r="19" customFormat="false" ht="45" hidden="false" customHeight="true" outlineLevel="0" collapsed="false">
      <c r="A19" s="4" t="s">
        <v>22</v>
      </c>
      <c r="B19" s="4" t="s">
        <v>74</v>
      </c>
      <c r="C19" s="4" t="s">
        <v>68</v>
      </c>
      <c r="D19" s="4" t="s">
        <v>75</v>
      </c>
      <c r="E19" s="4" t="s">
        <v>13</v>
      </c>
      <c r="F19" s="4" t="s">
        <v>34</v>
      </c>
      <c r="G19" s="4" t="s">
        <v>39</v>
      </c>
      <c r="H19" s="4" t="s">
        <v>76</v>
      </c>
      <c r="I19" s="4" t="s">
        <v>17</v>
      </c>
    </row>
    <row r="20" customFormat="false" ht="60" hidden="false" customHeight="true" outlineLevel="0" collapsed="false">
      <c r="A20" s="3" t="s">
        <v>18</v>
      </c>
      <c r="B20" s="3" t="s">
        <v>77</v>
      </c>
      <c r="C20" s="3" t="s">
        <v>10</v>
      </c>
      <c r="D20" s="3" t="s">
        <v>78</v>
      </c>
      <c r="E20" s="3" t="s">
        <v>13</v>
      </c>
      <c r="F20" s="3" t="s">
        <v>14</v>
      </c>
      <c r="G20" s="3" t="s">
        <v>15</v>
      </c>
      <c r="H20" s="3" t="s">
        <v>79</v>
      </c>
      <c r="I20" s="3" t="s">
        <v>17</v>
      </c>
    </row>
    <row r="21" customFormat="false" ht="45" hidden="false" customHeight="true" outlineLevel="0" collapsed="false">
      <c r="A21" s="4" t="s">
        <v>22</v>
      </c>
      <c r="B21" s="4" t="s">
        <v>80</v>
      </c>
      <c r="C21" s="4" t="s">
        <v>77</v>
      </c>
      <c r="D21" s="4" t="s">
        <v>81</v>
      </c>
      <c r="E21" s="4" t="s">
        <v>13</v>
      </c>
      <c r="F21" s="4" t="s">
        <v>14</v>
      </c>
      <c r="G21" s="4" t="s">
        <v>15</v>
      </c>
      <c r="H21" s="4" t="s">
        <v>82</v>
      </c>
      <c r="I21" s="4" t="s">
        <v>17</v>
      </c>
    </row>
    <row r="22" customFormat="false" ht="45" hidden="false" customHeight="true" outlineLevel="0" collapsed="false">
      <c r="A22" s="4" t="s">
        <v>22</v>
      </c>
      <c r="B22" s="4" t="s">
        <v>83</v>
      </c>
      <c r="C22" s="4" t="s">
        <v>77</v>
      </c>
      <c r="D22" s="4" t="s">
        <v>84</v>
      </c>
      <c r="E22" s="4" t="s">
        <v>13</v>
      </c>
      <c r="F22" s="4" t="s">
        <v>34</v>
      </c>
      <c r="G22" s="4" t="s">
        <v>39</v>
      </c>
      <c r="H22" s="4" t="s">
        <v>85</v>
      </c>
      <c r="I22" s="4" t="s">
        <v>17</v>
      </c>
    </row>
    <row r="23" customFormat="false" ht="60" hidden="false" customHeight="true" outlineLevel="0" collapsed="false">
      <c r="A23" s="3" t="s">
        <v>18</v>
      </c>
      <c r="B23" s="3" t="s">
        <v>86</v>
      </c>
      <c r="C23" s="3" t="s">
        <v>10</v>
      </c>
      <c r="D23" s="3" t="s">
        <v>87</v>
      </c>
      <c r="E23" s="3" t="s">
        <v>13</v>
      </c>
      <c r="F23" s="3" t="s">
        <v>14</v>
      </c>
      <c r="G23" s="3" t="s">
        <v>25</v>
      </c>
      <c r="H23" s="3" t="s">
        <v>88</v>
      </c>
      <c r="I23" s="3" t="s">
        <v>17</v>
      </c>
    </row>
    <row r="24" customFormat="false" ht="45" hidden="false" customHeight="true" outlineLevel="0" collapsed="false">
      <c r="A24" s="4" t="s">
        <v>22</v>
      </c>
      <c r="B24" s="4" t="s">
        <v>89</v>
      </c>
      <c r="C24" s="4" t="s">
        <v>86</v>
      </c>
      <c r="D24" s="4" t="s">
        <v>90</v>
      </c>
      <c r="E24" s="4" t="s">
        <v>13</v>
      </c>
      <c r="F24" s="4" t="s">
        <v>14</v>
      </c>
      <c r="G24" s="4" t="s">
        <v>15</v>
      </c>
      <c r="H24" s="4" t="s">
        <v>91</v>
      </c>
      <c r="I24" s="4" t="s">
        <v>17</v>
      </c>
    </row>
    <row r="25" customFormat="false" ht="45" hidden="false" customHeight="true" outlineLevel="0" collapsed="false">
      <c r="A25" s="4" t="s">
        <v>22</v>
      </c>
      <c r="B25" s="4" t="s">
        <v>92</v>
      </c>
      <c r="C25" s="4" t="s">
        <v>86</v>
      </c>
      <c r="D25" s="4" t="s">
        <v>93</v>
      </c>
      <c r="E25" s="4" t="s">
        <v>13</v>
      </c>
      <c r="F25" s="4" t="s">
        <v>34</v>
      </c>
      <c r="G25" s="4" t="s">
        <v>15</v>
      </c>
      <c r="H25" s="4" t="s">
        <v>94</v>
      </c>
      <c r="I25" s="4" t="s">
        <v>17</v>
      </c>
    </row>
    <row r="26" customFormat="false" ht="60" hidden="false" customHeight="true" outlineLevel="0" collapsed="false">
      <c r="A26" s="3" t="s">
        <v>18</v>
      </c>
      <c r="B26" s="3" t="s">
        <v>95</v>
      </c>
      <c r="C26" s="3" t="s">
        <v>10</v>
      </c>
      <c r="D26" s="3" t="s">
        <v>96</v>
      </c>
      <c r="E26" s="3" t="s">
        <v>13</v>
      </c>
      <c r="F26" s="3" t="s">
        <v>14</v>
      </c>
      <c r="G26" s="3" t="s">
        <v>25</v>
      </c>
      <c r="H26" s="3" t="s">
        <v>97</v>
      </c>
      <c r="I26" s="3" t="s">
        <v>17</v>
      </c>
    </row>
    <row r="27" customFormat="false" ht="45" hidden="false" customHeight="true" outlineLevel="0" collapsed="false">
      <c r="A27" s="4" t="s">
        <v>22</v>
      </c>
      <c r="B27" s="4" t="s">
        <v>98</v>
      </c>
      <c r="C27" s="4" t="s">
        <v>95</v>
      </c>
      <c r="D27" s="4" t="s">
        <v>99</v>
      </c>
      <c r="E27" s="4" t="s">
        <v>13</v>
      </c>
      <c r="F27" s="4" t="s">
        <v>14</v>
      </c>
      <c r="G27" s="4" t="s">
        <v>25</v>
      </c>
      <c r="H27" s="4" t="s">
        <v>100</v>
      </c>
      <c r="I27" s="4" t="s">
        <v>17</v>
      </c>
    </row>
    <row r="28" customFormat="false" ht="45" hidden="false" customHeight="true" outlineLevel="0" collapsed="false">
      <c r="A28" s="4" t="s">
        <v>22</v>
      </c>
      <c r="B28" s="4" t="s">
        <v>101</v>
      </c>
      <c r="C28" s="4" t="s">
        <v>95</v>
      </c>
      <c r="D28" s="4" t="s">
        <v>102</v>
      </c>
      <c r="E28" s="4" t="s">
        <v>33</v>
      </c>
      <c r="F28" s="4" t="s">
        <v>14</v>
      </c>
      <c r="G28" s="4" t="s">
        <v>25</v>
      </c>
      <c r="H28" s="4" t="s">
        <v>103</v>
      </c>
      <c r="I28" s="4" t="s">
        <v>17</v>
      </c>
    </row>
    <row r="29" customFormat="false" ht="60" hidden="false" customHeight="true" outlineLevel="0" collapsed="false">
      <c r="A29" s="2" t="s">
        <v>9</v>
      </c>
      <c r="B29" s="2" t="s">
        <v>104</v>
      </c>
      <c r="C29" s="2" t="s">
        <v>11</v>
      </c>
      <c r="D29" s="2" t="s">
        <v>105</v>
      </c>
      <c r="E29" s="2" t="s">
        <v>13</v>
      </c>
      <c r="F29" s="2" t="s">
        <v>14</v>
      </c>
      <c r="G29" s="2" t="s">
        <v>15</v>
      </c>
      <c r="H29" s="2" t="s">
        <v>106</v>
      </c>
      <c r="I29" s="2" t="s">
        <v>107</v>
      </c>
    </row>
    <row r="30" customFormat="false" ht="60" hidden="false" customHeight="true" outlineLevel="0" collapsed="false">
      <c r="A30" s="3" t="s">
        <v>18</v>
      </c>
      <c r="B30" s="3" t="s">
        <v>108</v>
      </c>
      <c r="C30" s="3" t="s">
        <v>104</v>
      </c>
      <c r="D30" s="3" t="s">
        <v>109</v>
      </c>
      <c r="E30" s="3" t="s">
        <v>13</v>
      </c>
      <c r="F30" s="3" t="s">
        <v>14</v>
      </c>
      <c r="G30" s="3" t="s">
        <v>15</v>
      </c>
      <c r="H30" s="3" t="s">
        <v>110</v>
      </c>
      <c r="I30" s="3" t="s">
        <v>107</v>
      </c>
    </row>
    <row r="31" customFormat="false" ht="45" hidden="false" customHeight="true" outlineLevel="0" collapsed="false">
      <c r="A31" s="4" t="s">
        <v>22</v>
      </c>
      <c r="B31" s="4" t="s">
        <v>111</v>
      </c>
      <c r="C31" s="4" t="s">
        <v>108</v>
      </c>
      <c r="D31" s="4" t="s">
        <v>112</v>
      </c>
      <c r="E31" s="4" t="s">
        <v>13</v>
      </c>
      <c r="F31" s="4" t="s">
        <v>14</v>
      </c>
      <c r="G31" s="4" t="s">
        <v>25</v>
      </c>
      <c r="H31" s="4" t="s">
        <v>113</v>
      </c>
      <c r="I31" s="4" t="s">
        <v>114</v>
      </c>
    </row>
    <row r="32" customFormat="false" ht="45" hidden="false" customHeight="true" outlineLevel="0" collapsed="false">
      <c r="A32" s="4" t="s">
        <v>22</v>
      </c>
      <c r="B32" s="4" t="s">
        <v>115</v>
      </c>
      <c r="C32" s="4" t="s">
        <v>108</v>
      </c>
      <c r="D32" s="4" t="s">
        <v>116</v>
      </c>
      <c r="E32" s="4" t="s">
        <v>33</v>
      </c>
      <c r="F32" s="4" t="s">
        <v>14</v>
      </c>
      <c r="G32" s="4" t="s">
        <v>25</v>
      </c>
      <c r="H32" s="4" t="s">
        <v>117</v>
      </c>
      <c r="I32" s="4" t="s">
        <v>107</v>
      </c>
    </row>
    <row r="33" customFormat="false" ht="45" hidden="false" customHeight="true" outlineLevel="0" collapsed="false">
      <c r="A33" s="5" t="s">
        <v>27</v>
      </c>
      <c r="B33" s="5" t="s">
        <v>118</v>
      </c>
      <c r="C33" s="5" t="s">
        <v>108</v>
      </c>
      <c r="D33" s="5" t="s">
        <v>119</v>
      </c>
      <c r="E33" s="5" t="s">
        <v>13</v>
      </c>
      <c r="F33" s="5" t="s">
        <v>14</v>
      </c>
      <c r="G33" s="5" t="s">
        <v>25</v>
      </c>
      <c r="H33" s="5" t="s">
        <v>120</v>
      </c>
      <c r="I33" s="5" t="s">
        <v>121</v>
      </c>
    </row>
    <row r="34" customFormat="false" ht="45" hidden="false" customHeight="true" outlineLevel="0" collapsed="false">
      <c r="A34" s="5" t="s">
        <v>27</v>
      </c>
      <c r="B34" s="5" t="s">
        <v>122</v>
      </c>
      <c r="C34" s="5" t="s">
        <v>108</v>
      </c>
      <c r="D34" s="5" t="s">
        <v>123</v>
      </c>
      <c r="E34" s="5" t="s">
        <v>33</v>
      </c>
      <c r="F34" s="5" t="s">
        <v>14</v>
      </c>
      <c r="G34" s="5" t="s">
        <v>25</v>
      </c>
      <c r="H34" s="5" t="s">
        <v>124</v>
      </c>
      <c r="I34" s="5" t="s">
        <v>114</v>
      </c>
    </row>
    <row r="35" customFormat="false" ht="60" hidden="false" customHeight="true" outlineLevel="0" collapsed="false">
      <c r="A35" s="3" t="s">
        <v>18</v>
      </c>
      <c r="B35" s="3" t="s">
        <v>125</v>
      </c>
      <c r="C35" s="3" t="s">
        <v>104</v>
      </c>
      <c r="D35" s="3" t="s">
        <v>126</v>
      </c>
      <c r="E35" s="3" t="s">
        <v>13</v>
      </c>
      <c r="F35" s="3" t="s">
        <v>14</v>
      </c>
      <c r="G35" s="3" t="s">
        <v>15</v>
      </c>
      <c r="H35" s="3" t="s">
        <v>127</v>
      </c>
      <c r="I35" s="3" t="s">
        <v>107</v>
      </c>
    </row>
    <row r="36" customFormat="false" ht="45" hidden="false" customHeight="true" outlineLevel="0" collapsed="false">
      <c r="A36" s="4" t="s">
        <v>22</v>
      </c>
      <c r="B36" s="4" t="s">
        <v>128</v>
      </c>
      <c r="C36" s="4" t="s">
        <v>125</v>
      </c>
      <c r="D36" s="4" t="s">
        <v>129</v>
      </c>
      <c r="E36" s="4" t="s">
        <v>13</v>
      </c>
      <c r="F36" s="4" t="s">
        <v>34</v>
      </c>
      <c r="G36" s="4" t="s">
        <v>39</v>
      </c>
      <c r="H36" s="4" t="s">
        <v>130</v>
      </c>
      <c r="I36" s="4" t="s">
        <v>107</v>
      </c>
    </row>
    <row r="37" customFormat="false" ht="45" hidden="false" customHeight="true" outlineLevel="0" collapsed="false">
      <c r="A37" s="4" t="s">
        <v>22</v>
      </c>
      <c r="B37" s="4" t="s">
        <v>131</v>
      </c>
      <c r="C37" s="4" t="s">
        <v>125</v>
      </c>
      <c r="D37" s="4" t="s">
        <v>132</v>
      </c>
      <c r="E37" s="4" t="s">
        <v>13</v>
      </c>
      <c r="F37" s="4" t="s">
        <v>34</v>
      </c>
      <c r="G37" s="4" t="s">
        <v>15</v>
      </c>
      <c r="H37" s="4" t="s">
        <v>133</v>
      </c>
      <c r="I37" s="4" t="s">
        <v>107</v>
      </c>
    </row>
    <row r="38" customFormat="false" ht="45" hidden="false" customHeight="true" outlineLevel="0" collapsed="false">
      <c r="A38" s="4" t="s">
        <v>22</v>
      </c>
      <c r="B38" s="4" t="s">
        <v>134</v>
      </c>
      <c r="C38" s="4" t="s">
        <v>125</v>
      </c>
      <c r="D38" s="4" t="s">
        <v>135</v>
      </c>
      <c r="E38" s="4" t="s">
        <v>13</v>
      </c>
      <c r="F38" s="4" t="s">
        <v>34</v>
      </c>
      <c r="G38" s="4" t="s">
        <v>15</v>
      </c>
      <c r="H38" s="4" t="s">
        <v>136</v>
      </c>
      <c r="I38" s="4" t="s">
        <v>107</v>
      </c>
    </row>
    <row r="39" customFormat="false" ht="45" hidden="false" customHeight="true" outlineLevel="0" collapsed="false">
      <c r="A39" s="4" t="s">
        <v>22</v>
      </c>
      <c r="B39" s="4" t="s">
        <v>137</v>
      </c>
      <c r="C39" s="4" t="s">
        <v>125</v>
      </c>
      <c r="D39" s="4" t="s">
        <v>138</v>
      </c>
      <c r="E39" s="4" t="s">
        <v>13</v>
      </c>
      <c r="F39" s="4" t="s">
        <v>34</v>
      </c>
      <c r="G39" s="4" t="s">
        <v>39</v>
      </c>
      <c r="H39" s="4" t="s">
        <v>139</v>
      </c>
      <c r="I39" s="4" t="s">
        <v>107</v>
      </c>
    </row>
    <row r="40" customFormat="false" ht="60" hidden="false" customHeight="true" outlineLevel="0" collapsed="false">
      <c r="A40" s="3" t="s">
        <v>18</v>
      </c>
      <c r="B40" s="3" t="s">
        <v>140</v>
      </c>
      <c r="C40" s="3" t="s">
        <v>104</v>
      </c>
      <c r="D40" s="3" t="s">
        <v>141</v>
      </c>
      <c r="E40" s="3" t="s">
        <v>13</v>
      </c>
      <c r="F40" s="3" t="s">
        <v>34</v>
      </c>
      <c r="G40" s="3" t="s">
        <v>15</v>
      </c>
      <c r="H40" s="3" t="s">
        <v>142</v>
      </c>
      <c r="I40" s="3" t="s">
        <v>107</v>
      </c>
    </row>
    <row r="41" customFormat="false" ht="60" hidden="false" customHeight="true" outlineLevel="0" collapsed="false">
      <c r="A41" s="3" t="s">
        <v>18</v>
      </c>
      <c r="B41" s="3" t="s">
        <v>143</v>
      </c>
      <c r="C41" s="3" t="s">
        <v>104</v>
      </c>
      <c r="D41" s="3" t="s">
        <v>144</v>
      </c>
      <c r="E41" s="3" t="s">
        <v>13</v>
      </c>
      <c r="F41" s="3" t="s">
        <v>34</v>
      </c>
      <c r="G41" s="3" t="s">
        <v>15</v>
      </c>
      <c r="H41" s="3" t="s">
        <v>145</v>
      </c>
      <c r="I41" s="3" t="s">
        <v>107</v>
      </c>
    </row>
    <row r="42" customFormat="false" ht="45" hidden="false" customHeight="true" outlineLevel="0" collapsed="false">
      <c r="A42" s="4" t="s">
        <v>22</v>
      </c>
      <c r="B42" s="4" t="s">
        <v>146</v>
      </c>
      <c r="C42" s="4" t="s">
        <v>143</v>
      </c>
      <c r="D42" s="4" t="s">
        <v>147</v>
      </c>
      <c r="E42" s="4" t="s">
        <v>13</v>
      </c>
      <c r="F42" s="4" t="s">
        <v>34</v>
      </c>
      <c r="G42" s="4" t="s">
        <v>39</v>
      </c>
      <c r="H42" s="4" t="s">
        <v>148</v>
      </c>
      <c r="I42" s="4" t="s">
        <v>107</v>
      </c>
    </row>
    <row r="43" customFormat="false" ht="45" hidden="false" customHeight="true" outlineLevel="0" collapsed="false">
      <c r="A43" s="4" t="s">
        <v>22</v>
      </c>
      <c r="B43" s="4" t="s">
        <v>149</v>
      </c>
      <c r="C43" s="4" t="s">
        <v>143</v>
      </c>
      <c r="D43" s="4" t="s">
        <v>150</v>
      </c>
      <c r="E43" s="4" t="s">
        <v>13</v>
      </c>
      <c r="F43" s="4" t="s">
        <v>34</v>
      </c>
      <c r="G43" s="4" t="s">
        <v>39</v>
      </c>
      <c r="H43" s="4" t="s">
        <v>151</v>
      </c>
      <c r="I43" s="4" t="s">
        <v>107</v>
      </c>
    </row>
    <row r="44" customFormat="false" ht="60" hidden="false" customHeight="true" outlineLevel="0" collapsed="false">
      <c r="A44" s="3" t="s">
        <v>18</v>
      </c>
      <c r="B44" s="3" t="s">
        <v>152</v>
      </c>
      <c r="C44" s="3" t="s">
        <v>104</v>
      </c>
      <c r="D44" s="3" t="s">
        <v>153</v>
      </c>
      <c r="E44" s="3" t="s">
        <v>13</v>
      </c>
      <c r="F44" s="3" t="s">
        <v>14</v>
      </c>
      <c r="G44" s="3" t="s">
        <v>15</v>
      </c>
      <c r="H44" s="3" t="s">
        <v>154</v>
      </c>
      <c r="I44" s="3" t="s">
        <v>107</v>
      </c>
    </row>
    <row r="45" customFormat="false" ht="45" hidden="false" customHeight="true" outlineLevel="0" collapsed="false">
      <c r="A45" s="4" t="s">
        <v>22</v>
      </c>
      <c r="B45" s="4" t="s">
        <v>155</v>
      </c>
      <c r="C45" s="4" t="s">
        <v>152</v>
      </c>
      <c r="D45" s="4" t="s">
        <v>156</v>
      </c>
      <c r="E45" s="4" t="s">
        <v>13</v>
      </c>
      <c r="F45" s="4" t="s">
        <v>34</v>
      </c>
      <c r="G45" s="4" t="s">
        <v>15</v>
      </c>
      <c r="H45" s="4" t="s">
        <v>157</v>
      </c>
      <c r="I45" s="4" t="s">
        <v>107</v>
      </c>
    </row>
    <row r="46" customFormat="false" ht="45" hidden="false" customHeight="true" outlineLevel="0" collapsed="false">
      <c r="A46" s="4" t="s">
        <v>22</v>
      </c>
      <c r="B46" s="4" t="s">
        <v>158</v>
      </c>
      <c r="C46" s="4" t="s">
        <v>152</v>
      </c>
      <c r="D46" s="4" t="s">
        <v>159</v>
      </c>
      <c r="E46" s="4" t="s">
        <v>13</v>
      </c>
      <c r="F46" s="4" t="s">
        <v>14</v>
      </c>
      <c r="G46" s="4" t="s">
        <v>15</v>
      </c>
      <c r="H46" s="4" t="s">
        <v>160</v>
      </c>
      <c r="I46" s="4" t="s">
        <v>107</v>
      </c>
    </row>
    <row r="47" customFormat="false" ht="45" hidden="false" customHeight="true" outlineLevel="0" collapsed="false">
      <c r="A47" s="4" t="s">
        <v>22</v>
      </c>
      <c r="B47" s="4" t="s">
        <v>161</v>
      </c>
      <c r="C47" s="4" t="s">
        <v>152</v>
      </c>
      <c r="D47" s="4" t="s">
        <v>162</v>
      </c>
      <c r="E47" s="4" t="s">
        <v>33</v>
      </c>
      <c r="F47" s="4" t="s">
        <v>14</v>
      </c>
      <c r="G47" s="4" t="s">
        <v>15</v>
      </c>
      <c r="H47" s="4" t="s">
        <v>163</v>
      </c>
      <c r="I47" s="4" t="s">
        <v>107</v>
      </c>
    </row>
    <row r="48" customFormat="false" ht="60" hidden="false" customHeight="true" outlineLevel="0" collapsed="false">
      <c r="A48" s="2" t="s">
        <v>9</v>
      </c>
      <c r="B48" s="2" t="s">
        <v>164</v>
      </c>
      <c r="C48" s="2" t="s">
        <v>11</v>
      </c>
      <c r="D48" s="2" t="s">
        <v>165</v>
      </c>
      <c r="E48" s="2" t="s">
        <v>13</v>
      </c>
      <c r="F48" s="2" t="s">
        <v>14</v>
      </c>
      <c r="G48" s="2" t="s">
        <v>15</v>
      </c>
      <c r="H48" s="2" t="s">
        <v>166</v>
      </c>
      <c r="I48" s="2" t="s">
        <v>114</v>
      </c>
    </row>
    <row r="49" customFormat="false" ht="60" hidden="false" customHeight="true" outlineLevel="0" collapsed="false">
      <c r="A49" s="3" t="s">
        <v>18</v>
      </c>
      <c r="B49" s="3" t="s">
        <v>167</v>
      </c>
      <c r="C49" s="3" t="s">
        <v>164</v>
      </c>
      <c r="D49" s="3" t="s">
        <v>168</v>
      </c>
      <c r="E49" s="3" t="s">
        <v>13</v>
      </c>
      <c r="F49" s="3" t="s">
        <v>14</v>
      </c>
      <c r="G49" s="3" t="s">
        <v>25</v>
      </c>
      <c r="H49" s="3" t="s">
        <v>169</v>
      </c>
      <c r="I49" s="3" t="s">
        <v>170</v>
      </c>
    </row>
    <row r="50" customFormat="false" ht="45" hidden="false" customHeight="true" outlineLevel="0" collapsed="false">
      <c r="A50" s="4" t="s">
        <v>22</v>
      </c>
      <c r="B50" s="4" t="s">
        <v>171</v>
      </c>
      <c r="C50" s="4" t="s">
        <v>167</v>
      </c>
      <c r="D50" s="4" t="s">
        <v>172</v>
      </c>
      <c r="E50" s="4" t="s">
        <v>13</v>
      </c>
      <c r="F50" s="4" t="s">
        <v>14</v>
      </c>
      <c r="G50" s="4" t="s">
        <v>25</v>
      </c>
      <c r="H50" s="4" t="s">
        <v>173</v>
      </c>
      <c r="I50" s="4" t="s">
        <v>170</v>
      </c>
    </row>
    <row r="51" customFormat="false" ht="45" hidden="false" customHeight="true" outlineLevel="0" collapsed="false">
      <c r="A51" s="4" t="s">
        <v>22</v>
      </c>
      <c r="B51" s="4" t="s">
        <v>174</v>
      </c>
      <c r="C51" s="4" t="s">
        <v>167</v>
      </c>
      <c r="D51" s="4" t="s">
        <v>175</v>
      </c>
      <c r="E51" s="4" t="s">
        <v>13</v>
      </c>
      <c r="F51" s="4" t="s">
        <v>34</v>
      </c>
      <c r="G51" s="4" t="s">
        <v>25</v>
      </c>
      <c r="H51" s="4" t="s">
        <v>176</v>
      </c>
      <c r="I51" s="4" t="s">
        <v>121</v>
      </c>
    </row>
    <row r="52" customFormat="false" ht="60" hidden="false" customHeight="true" outlineLevel="0" collapsed="false">
      <c r="A52" s="3" t="s">
        <v>18</v>
      </c>
      <c r="B52" s="3" t="s">
        <v>177</v>
      </c>
      <c r="C52" s="3" t="s">
        <v>164</v>
      </c>
      <c r="D52" s="3" t="s">
        <v>178</v>
      </c>
      <c r="E52" s="3" t="s">
        <v>13</v>
      </c>
      <c r="F52" s="3" t="s">
        <v>14</v>
      </c>
      <c r="G52" s="3" t="s">
        <v>15</v>
      </c>
      <c r="H52" s="3" t="s">
        <v>179</v>
      </c>
      <c r="I52" s="3" t="s">
        <v>114</v>
      </c>
    </row>
    <row r="53" customFormat="false" ht="45" hidden="false" customHeight="true" outlineLevel="0" collapsed="false">
      <c r="A53" s="4" t="s">
        <v>22</v>
      </c>
      <c r="B53" s="4" t="s">
        <v>180</v>
      </c>
      <c r="C53" s="4" t="s">
        <v>177</v>
      </c>
      <c r="D53" s="4" t="s">
        <v>181</v>
      </c>
      <c r="E53" s="4" t="s">
        <v>13</v>
      </c>
      <c r="F53" s="4" t="s">
        <v>14</v>
      </c>
      <c r="G53" s="4" t="s">
        <v>15</v>
      </c>
      <c r="H53" s="4" t="s">
        <v>182</v>
      </c>
      <c r="I53" s="4" t="s">
        <v>170</v>
      </c>
    </row>
    <row r="54" customFormat="false" ht="45" hidden="false" customHeight="true" outlineLevel="0" collapsed="false">
      <c r="A54" s="4" t="s">
        <v>22</v>
      </c>
      <c r="B54" s="4" t="s">
        <v>183</v>
      </c>
      <c r="C54" s="4" t="s">
        <v>177</v>
      </c>
      <c r="D54" s="4" t="s">
        <v>184</v>
      </c>
      <c r="E54" s="4" t="s">
        <v>13</v>
      </c>
      <c r="F54" s="4" t="s">
        <v>14</v>
      </c>
      <c r="G54" s="4" t="s">
        <v>25</v>
      </c>
      <c r="H54" s="4" t="s">
        <v>185</v>
      </c>
      <c r="I54" s="4" t="s">
        <v>114</v>
      </c>
    </row>
    <row r="55" customFormat="false" ht="45" hidden="false" customHeight="true" outlineLevel="0" collapsed="false">
      <c r="A55" s="4" t="s">
        <v>22</v>
      </c>
      <c r="B55" s="4" t="s">
        <v>186</v>
      </c>
      <c r="C55" s="4" t="s">
        <v>177</v>
      </c>
      <c r="D55" s="4" t="s">
        <v>187</v>
      </c>
      <c r="E55" s="4" t="s">
        <v>33</v>
      </c>
      <c r="F55" s="4" t="s">
        <v>14</v>
      </c>
      <c r="G55" s="4" t="s">
        <v>15</v>
      </c>
      <c r="H55" s="4" t="s">
        <v>188</v>
      </c>
      <c r="I55" s="4" t="s">
        <v>170</v>
      </c>
    </row>
    <row r="56" customFormat="false" ht="60" hidden="false" customHeight="true" outlineLevel="0" collapsed="false">
      <c r="A56" s="3" t="s">
        <v>18</v>
      </c>
      <c r="B56" s="3" t="s">
        <v>189</v>
      </c>
      <c r="C56" s="3" t="s">
        <v>164</v>
      </c>
      <c r="D56" s="3" t="s">
        <v>190</v>
      </c>
      <c r="E56" s="3" t="s">
        <v>13</v>
      </c>
      <c r="F56" s="3" t="s">
        <v>14</v>
      </c>
      <c r="G56" s="3" t="s">
        <v>25</v>
      </c>
      <c r="H56" s="3" t="s">
        <v>191</v>
      </c>
      <c r="I56" s="3" t="s">
        <v>114</v>
      </c>
    </row>
    <row r="57" customFormat="false" ht="45" hidden="false" customHeight="true" outlineLevel="0" collapsed="false">
      <c r="A57" s="4" t="s">
        <v>22</v>
      </c>
      <c r="B57" s="4" t="s">
        <v>192</v>
      </c>
      <c r="C57" s="4" t="s">
        <v>189</v>
      </c>
      <c r="D57" s="4" t="s">
        <v>193</v>
      </c>
      <c r="E57" s="4" t="s">
        <v>13</v>
      </c>
      <c r="F57" s="4" t="s">
        <v>14</v>
      </c>
      <c r="G57" s="4" t="s">
        <v>25</v>
      </c>
      <c r="H57" s="4" t="s">
        <v>194</v>
      </c>
      <c r="I57" s="4" t="s">
        <v>170</v>
      </c>
    </row>
    <row r="58" customFormat="false" ht="45" hidden="false" customHeight="true" outlineLevel="0" collapsed="false">
      <c r="A58" s="4" t="s">
        <v>22</v>
      </c>
      <c r="B58" s="4" t="s">
        <v>195</v>
      </c>
      <c r="C58" s="4" t="s">
        <v>189</v>
      </c>
      <c r="D58" s="4" t="s">
        <v>196</v>
      </c>
      <c r="E58" s="4" t="s">
        <v>13</v>
      </c>
      <c r="F58" s="4" t="s">
        <v>14</v>
      </c>
      <c r="G58" s="4" t="s">
        <v>15</v>
      </c>
      <c r="H58" s="4" t="s">
        <v>197</v>
      </c>
      <c r="I58" s="4" t="s">
        <v>114</v>
      </c>
    </row>
    <row r="59" customFormat="false" ht="45" hidden="false" customHeight="true" outlineLevel="0" collapsed="false">
      <c r="A59" s="4" t="s">
        <v>22</v>
      </c>
      <c r="B59" s="4" t="s">
        <v>198</v>
      </c>
      <c r="C59" s="4" t="s">
        <v>189</v>
      </c>
      <c r="D59" s="4" t="s">
        <v>199</v>
      </c>
      <c r="E59" s="4" t="s">
        <v>13</v>
      </c>
      <c r="F59" s="4" t="s">
        <v>14</v>
      </c>
      <c r="G59" s="4" t="s">
        <v>25</v>
      </c>
      <c r="H59" s="4" t="s">
        <v>200</v>
      </c>
      <c r="I59" s="4" t="s">
        <v>114</v>
      </c>
    </row>
    <row r="60" customFormat="false" ht="60" hidden="false" customHeight="true" outlineLevel="0" collapsed="false">
      <c r="A60" s="3" t="s">
        <v>18</v>
      </c>
      <c r="B60" s="3" t="s">
        <v>201</v>
      </c>
      <c r="C60" s="3" t="s">
        <v>164</v>
      </c>
      <c r="D60" s="3" t="s">
        <v>202</v>
      </c>
      <c r="E60" s="3" t="s">
        <v>13</v>
      </c>
      <c r="F60" s="3" t="s">
        <v>14</v>
      </c>
      <c r="G60" s="3" t="s">
        <v>25</v>
      </c>
      <c r="H60" s="3" t="s">
        <v>203</v>
      </c>
      <c r="I60" s="3" t="s">
        <v>114</v>
      </c>
    </row>
    <row r="61" customFormat="false" ht="45" hidden="false" customHeight="true" outlineLevel="0" collapsed="false">
      <c r="A61" s="4" t="s">
        <v>22</v>
      </c>
      <c r="B61" s="4" t="s">
        <v>204</v>
      </c>
      <c r="C61" s="4" t="s">
        <v>201</v>
      </c>
      <c r="D61" s="4" t="s">
        <v>205</v>
      </c>
      <c r="E61" s="4" t="s">
        <v>13</v>
      </c>
      <c r="F61" s="4" t="s">
        <v>14</v>
      </c>
      <c r="G61" s="4" t="s">
        <v>15</v>
      </c>
      <c r="H61" s="4" t="s">
        <v>206</v>
      </c>
      <c r="I61" s="4" t="s">
        <v>114</v>
      </c>
    </row>
    <row r="62" customFormat="false" ht="45" hidden="false" customHeight="true" outlineLevel="0" collapsed="false">
      <c r="A62" s="4" t="s">
        <v>22</v>
      </c>
      <c r="B62" s="4" t="s">
        <v>207</v>
      </c>
      <c r="C62" s="4" t="s">
        <v>201</v>
      </c>
      <c r="D62" s="4" t="s">
        <v>208</v>
      </c>
      <c r="E62" s="4" t="s">
        <v>13</v>
      </c>
      <c r="F62" s="4" t="s">
        <v>14</v>
      </c>
      <c r="G62" s="4" t="s">
        <v>25</v>
      </c>
      <c r="H62" s="4" t="s">
        <v>209</v>
      </c>
      <c r="I62" s="4" t="s">
        <v>114</v>
      </c>
    </row>
    <row r="63" customFormat="false" ht="45" hidden="false" customHeight="true" outlineLevel="0" collapsed="false">
      <c r="A63" s="4" t="s">
        <v>22</v>
      </c>
      <c r="B63" s="4" t="s">
        <v>210</v>
      </c>
      <c r="C63" s="4" t="s">
        <v>201</v>
      </c>
      <c r="D63" s="4" t="s">
        <v>211</v>
      </c>
      <c r="E63" s="4" t="s">
        <v>13</v>
      </c>
      <c r="F63" s="4" t="s">
        <v>14</v>
      </c>
      <c r="G63" s="4" t="s">
        <v>25</v>
      </c>
      <c r="H63" s="4" t="s">
        <v>212</v>
      </c>
      <c r="I63" s="4" t="s">
        <v>114</v>
      </c>
    </row>
    <row r="64" customFormat="false" ht="45" hidden="false" customHeight="true" outlineLevel="0" collapsed="false">
      <c r="A64" s="5" t="s">
        <v>27</v>
      </c>
      <c r="B64" s="5" t="s">
        <v>213</v>
      </c>
      <c r="C64" s="5" t="s">
        <v>210</v>
      </c>
      <c r="D64" s="5" t="s">
        <v>214</v>
      </c>
      <c r="E64" s="5" t="s">
        <v>33</v>
      </c>
      <c r="F64" s="5" t="s">
        <v>14</v>
      </c>
      <c r="G64" s="5" t="s">
        <v>35</v>
      </c>
      <c r="H64" s="5" t="s">
        <v>215</v>
      </c>
      <c r="I64" s="5" t="s">
        <v>114</v>
      </c>
    </row>
    <row r="65" customFormat="false" ht="60" hidden="false" customHeight="true" outlineLevel="0" collapsed="false">
      <c r="A65" s="2" t="s">
        <v>9</v>
      </c>
      <c r="B65" s="2" t="s">
        <v>216</v>
      </c>
      <c r="C65" s="2" t="s">
        <v>11</v>
      </c>
      <c r="D65" s="2" t="s">
        <v>217</v>
      </c>
      <c r="E65" s="2" t="s">
        <v>13</v>
      </c>
      <c r="F65" s="2" t="s">
        <v>14</v>
      </c>
      <c r="G65" s="2" t="s">
        <v>15</v>
      </c>
      <c r="H65" s="2" t="s">
        <v>218</v>
      </c>
      <c r="I65" s="2" t="s">
        <v>216</v>
      </c>
    </row>
    <row r="66" customFormat="false" ht="60" hidden="false" customHeight="true" outlineLevel="0" collapsed="false">
      <c r="A66" s="3" t="s">
        <v>18</v>
      </c>
      <c r="B66" s="3" t="s">
        <v>219</v>
      </c>
      <c r="C66" s="3" t="s">
        <v>216</v>
      </c>
      <c r="D66" s="3" t="s">
        <v>220</v>
      </c>
      <c r="E66" s="3" t="s">
        <v>13</v>
      </c>
      <c r="F66" s="3" t="s">
        <v>14</v>
      </c>
      <c r="G66" s="3" t="s">
        <v>15</v>
      </c>
      <c r="H66" s="3" t="s">
        <v>221</v>
      </c>
      <c r="I66" s="3" t="s">
        <v>216</v>
      </c>
    </row>
    <row r="67" customFormat="false" ht="45" hidden="false" customHeight="true" outlineLevel="0" collapsed="false">
      <c r="A67" s="4" t="s">
        <v>22</v>
      </c>
      <c r="B67" s="4" t="s">
        <v>222</v>
      </c>
      <c r="C67" s="4" t="s">
        <v>219</v>
      </c>
      <c r="D67" s="4" t="s">
        <v>223</v>
      </c>
      <c r="E67" s="4" t="s">
        <v>13</v>
      </c>
      <c r="F67" s="4" t="s">
        <v>14</v>
      </c>
      <c r="G67" s="4" t="s">
        <v>15</v>
      </c>
      <c r="H67" s="4" t="s">
        <v>224</v>
      </c>
      <c r="I67" s="4" t="s">
        <v>216</v>
      </c>
    </row>
    <row r="68" customFormat="false" ht="45" hidden="false" customHeight="true" outlineLevel="0" collapsed="false">
      <c r="A68" s="4" t="s">
        <v>22</v>
      </c>
      <c r="B68" s="4" t="s">
        <v>225</v>
      </c>
      <c r="C68" s="4" t="s">
        <v>219</v>
      </c>
      <c r="D68" s="4" t="s">
        <v>226</v>
      </c>
      <c r="E68" s="4" t="s">
        <v>13</v>
      </c>
      <c r="F68" s="4" t="s">
        <v>14</v>
      </c>
      <c r="G68" s="4" t="s">
        <v>15</v>
      </c>
      <c r="H68" s="4" t="s">
        <v>227</v>
      </c>
      <c r="I68" s="4" t="s">
        <v>216</v>
      </c>
    </row>
    <row r="69" customFormat="false" ht="45" hidden="false" customHeight="true" outlineLevel="0" collapsed="false">
      <c r="A69" s="4" t="s">
        <v>22</v>
      </c>
      <c r="B69" s="4" t="s">
        <v>228</v>
      </c>
      <c r="C69" s="4" t="s">
        <v>219</v>
      </c>
      <c r="D69" s="4" t="s">
        <v>229</v>
      </c>
      <c r="E69" s="4" t="s">
        <v>13</v>
      </c>
      <c r="F69" s="4" t="s">
        <v>14</v>
      </c>
      <c r="G69" s="4" t="s">
        <v>15</v>
      </c>
      <c r="H69" s="4" t="s">
        <v>230</v>
      </c>
      <c r="I69" s="4" t="s">
        <v>216</v>
      </c>
    </row>
    <row r="70" customFormat="false" ht="45" hidden="false" customHeight="true" outlineLevel="0" collapsed="false">
      <c r="A70" s="5" t="s">
        <v>27</v>
      </c>
      <c r="B70" s="5" t="s">
        <v>231</v>
      </c>
      <c r="C70" s="5" t="s">
        <v>222</v>
      </c>
      <c r="D70" s="5" t="s">
        <v>232</v>
      </c>
      <c r="E70" s="5" t="s">
        <v>33</v>
      </c>
      <c r="F70" s="5" t="s">
        <v>14</v>
      </c>
      <c r="G70" s="5" t="s">
        <v>35</v>
      </c>
      <c r="H70" s="5" t="s">
        <v>233</v>
      </c>
      <c r="I70" s="5" t="s">
        <v>216</v>
      </c>
    </row>
    <row r="71" customFormat="false" ht="60" hidden="false" customHeight="true" outlineLevel="0" collapsed="false">
      <c r="A71" s="3" t="s">
        <v>18</v>
      </c>
      <c r="B71" s="3" t="s">
        <v>234</v>
      </c>
      <c r="C71" s="3" t="s">
        <v>216</v>
      </c>
      <c r="D71" s="3" t="s">
        <v>235</v>
      </c>
      <c r="E71" s="3" t="s">
        <v>13</v>
      </c>
      <c r="F71" s="3" t="s">
        <v>14</v>
      </c>
      <c r="G71" s="3" t="s">
        <v>15</v>
      </c>
      <c r="H71" s="3" t="s">
        <v>236</v>
      </c>
      <c r="I71" s="3" t="s">
        <v>216</v>
      </c>
    </row>
    <row r="72" customFormat="false" ht="45" hidden="false" customHeight="true" outlineLevel="0" collapsed="false">
      <c r="A72" s="4" t="s">
        <v>22</v>
      </c>
      <c r="B72" s="4" t="s">
        <v>237</v>
      </c>
      <c r="C72" s="4" t="s">
        <v>234</v>
      </c>
      <c r="D72" s="4" t="s">
        <v>238</v>
      </c>
      <c r="E72" s="4" t="s">
        <v>13</v>
      </c>
      <c r="F72" s="4" t="s">
        <v>14</v>
      </c>
      <c r="G72" s="4" t="s">
        <v>15</v>
      </c>
      <c r="H72" s="4" t="s">
        <v>239</v>
      </c>
      <c r="I72" s="4" t="s">
        <v>216</v>
      </c>
    </row>
    <row r="73" customFormat="false" ht="45" hidden="false" customHeight="true" outlineLevel="0" collapsed="false">
      <c r="A73" s="4" t="s">
        <v>22</v>
      </c>
      <c r="B73" s="4" t="s">
        <v>240</v>
      </c>
      <c r="C73" s="4" t="s">
        <v>234</v>
      </c>
      <c r="D73" s="4" t="s">
        <v>241</v>
      </c>
      <c r="E73" s="4" t="s">
        <v>13</v>
      </c>
      <c r="F73" s="4" t="s">
        <v>14</v>
      </c>
      <c r="G73" s="4" t="s">
        <v>15</v>
      </c>
      <c r="H73" s="4" t="s">
        <v>242</v>
      </c>
      <c r="I73" s="4" t="s">
        <v>216</v>
      </c>
    </row>
    <row r="74" customFormat="false" ht="60" hidden="false" customHeight="true" outlineLevel="0" collapsed="false">
      <c r="A74" s="3" t="s">
        <v>18</v>
      </c>
      <c r="B74" s="3" t="s">
        <v>243</v>
      </c>
      <c r="C74" s="3" t="s">
        <v>216</v>
      </c>
      <c r="D74" s="3" t="s">
        <v>244</v>
      </c>
      <c r="E74" s="3" t="s">
        <v>13</v>
      </c>
      <c r="F74" s="3" t="s">
        <v>14</v>
      </c>
      <c r="G74" s="3" t="s">
        <v>25</v>
      </c>
      <c r="H74" s="3" t="s">
        <v>245</v>
      </c>
      <c r="I74" s="3" t="s">
        <v>216</v>
      </c>
    </row>
    <row r="75" customFormat="false" ht="45" hidden="false" customHeight="true" outlineLevel="0" collapsed="false">
      <c r="A75" s="4" t="s">
        <v>22</v>
      </c>
      <c r="B75" s="4" t="s">
        <v>246</v>
      </c>
      <c r="C75" s="4" t="s">
        <v>243</v>
      </c>
      <c r="D75" s="4" t="s">
        <v>247</v>
      </c>
      <c r="E75" s="4" t="s">
        <v>13</v>
      </c>
      <c r="F75" s="4" t="s">
        <v>34</v>
      </c>
      <c r="G75" s="4" t="s">
        <v>15</v>
      </c>
      <c r="H75" s="4" t="s">
        <v>248</v>
      </c>
      <c r="I75" s="4" t="s">
        <v>216</v>
      </c>
    </row>
    <row r="76" customFormat="false" ht="45" hidden="false" customHeight="true" outlineLevel="0" collapsed="false">
      <c r="A76" s="4" t="s">
        <v>22</v>
      </c>
      <c r="B76" s="4" t="s">
        <v>249</v>
      </c>
      <c r="C76" s="4" t="s">
        <v>243</v>
      </c>
      <c r="D76" s="4" t="s">
        <v>250</v>
      </c>
      <c r="E76" s="4" t="s">
        <v>13</v>
      </c>
      <c r="F76" s="4" t="s">
        <v>34</v>
      </c>
      <c r="G76" s="4" t="s">
        <v>15</v>
      </c>
      <c r="H76" s="4" t="s">
        <v>251</v>
      </c>
      <c r="I76" s="4" t="s">
        <v>216</v>
      </c>
    </row>
    <row r="77" customFormat="false" ht="60" hidden="false" customHeight="true" outlineLevel="0" collapsed="false">
      <c r="A77" s="3" t="s">
        <v>18</v>
      </c>
      <c r="B77" s="3" t="s">
        <v>252</v>
      </c>
      <c r="C77" s="3" t="s">
        <v>216</v>
      </c>
      <c r="D77" s="3" t="s">
        <v>253</v>
      </c>
      <c r="E77" s="3" t="s">
        <v>13</v>
      </c>
      <c r="F77" s="3" t="s">
        <v>14</v>
      </c>
      <c r="G77" s="3" t="s">
        <v>15</v>
      </c>
      <c r="H77" s="3" t="s">
        <v>254</v>
      </c>
      <c r="I77" s="3" t="s">
        <v>255</v>
      </c>
    </row>
    <row r="78" customFormat="false" ht="45" hidden="false" customHeight="true" outlineLevel="0" collapsed="false">
      <c r="A78" s="4" t="s">
        <v>22</v>
      </c>
      <c r="B78" s="4" t="s">
        <v>256</v>
      </c>
      <c r="C78" s="4" t="s">
        <v>252</v>
      </c>
      <c r="D78" s="4" t="s">
        <v>257</v>
      </c>
      <c r="E78" s="4" t="s">
        <v>13</v>
      </c>
      <c r="F78" s="4" t="s">
        <v>34</v>
      </c>
      <c r="G78" s="4" t="s">
        <v>15</v>
      </c>
      <c r="H78" s="4" t="s">
        <v>258</v>
      </c>
      <c r="I78" s="4" t="s">
        <v>255</v>
      </c>
    </row>
    <row r="79" customFormat="false" ht="60" hidden="false" customHeight="true" outlineLevel="0" collapsed="false">
      <c r="A79" s="3" t="s">
        <v>18</v>
      </c>
      <c r="B79" s="3" t="s">
        <v>259</v>
      </c>
      <c r="C79" s="3" t="s">
        <v>216</v>
      </c>
      <c r="D79" s="3" t="s">
        <v>260</v>
      </c>
      <c r="E79" s="3" t="s">
        <v>13</v>
      </c>
      <c r="F79" s="3" t="s">
        <v>14</v>
      </c>
      <c r="G79" s="3" t="s">
        <v>25</v>
      </c>
      <c r="H79" s="3" t="s">
        <v>261</v>
      </c>
      <c r="I79" s="3" t="s">
        <v>216</v>
      </c>
    </row>
    <row r="80" customFormat="false" ht="60" hidden="false" customHeight="true" outlineLevel="0" collapsed="false">
      <c r="A80" s="3" t="s">
        <v>18</v>
      </c>
      <c r="B80" s="3" t="s">
        <v>262</v>
      </c>
      <c r="C80" s="3" t="s">
        <v>216</v>
      </c>
      <c r="D80" s="3" t="s">
        <v>263</v>
      </c>
      <c r="E80" s="3" t="s">
        <v>13</v>
      </c>
      <c r="F80" s="3" t="s">
        <v>14</v>
      </c>
      <c r="G80" s="3" t="s">
        <v>25</v>
      </c>
      <c r="H80" s="3" t="s">
        <v>264</v>
      </c>
      <c r="I80" s="3" t="s">
        <v>121</v>
      </c>
    </row>
    <row r="81" customFormat="false" ht="45" hidden="false" customHeight="true" outlineLevel="0" collapsed="false">
      <c r="A81" s="4" t="s">
        <v>22</v>
      </c>
      <c r="B81" s="4" t="s">
        <v>265</v>
      </c>
      <c r="C81" s="4" t="s">
        <v>262</v>
      </c>
      <c r="D81" s="4" t="s">
        <v>266</v>
      </c>
      <c r="E81" s="4" t="s">
        <v>13</v>
      </c>
      <c r="F81" s="4" t="s">
        <v>14</v>
      </c>
      <c r="G81" s="4" t="s">
        <v>25</v>
      </c>
      <c r="H81" s="4" t="s">
        <v>267</v>
      </c>
      <c r="I81" s="4" t="s">
        <v>121</v>
      </c>
    </row>
    <row r="82" customFormat="false" ht="45" hidden="false" customHeight="true" outlineLevel="0" collapsed="false">
      <c r="A82" s="4" t="s">
        <v>22</v>
      </c>
      <c r="B82" s="4" t="s">
        <v>268</v>
      </c>
      <c r="C82" s="4" t="s">
        <v>262</v>
      </c>
      <c r="D82" s="4" t="s">
        <v>269</v>
      </c>
      <c r="E82" s="4" t="s">
        <v>13</v>
      </c>
      <c r="F82" s="4" t="s">
        <v>14</v>
      </c>
      <c r="G82" s="4" t="s">
        <v>25</v>
      </c>
      <c r="H82" s="4" t="s">
        <v>270</v>
      </c>
      <c r="I82" s="4" t="s">
        <v>121</v>
      </c>
    </row>
    <row r="83" customFormat="false" ht="45" hidden="false" customHeight="true" outlineLevel="0" collapsed="false">
      <c r="A83" s="5" t="s">
        <v>27</v>
      </c>
      <c r="B83" s="5" t="s">
        <v>271</v>
      </c>
      <c r="C83" s="5" t="s">
        <v>268</v>
      </c>
      <c r="D83" s="5" t="s">
        <v>272</v>
      </c>
      <c r="E83" s="5" t="s">
        <v>273</v>
      </c>
      <c r="F83" s="5" t="s">
        <v>14</v>
      </c>
      <c r="G83" s="5" t="s">
        <v>35</v>
      </c>
      <c r="H83" s="5" t="s">
        <v>274</v>
      </c>
      <c r="I83" s="5" t="s">
        <v>121</v>
      </c>
    </row>
    <row r="84" customFormat="false" ht="60" hidden="false" customHeight="true" outlineLevel="0" collapsed="false">
      <c r="A84" s="2" t="s">
        <v>9</v>
      </c>
      <c r="B84" s="2" t="s">
        <v>275</v>
      </c>
      <c r="C84" s="2" t="s">
        <v>11</v>
      </c>
      <c r="D84" s="2" t="s">
        <v>276</v>
      </c>
      <c r="E84" s="2" t="s">
        <v>13</v>
      </c>
      <c r="F84" s="2" t="s">
        <v>14</v>
      </c>
      <c r="G84" s="2" t="s">
        <v>15</v>
      </c>
      <c r="H84" s="2" t="s">
        <v>277</v>
      </c>
      <c r="I84" s="2" t="s">
        <v>121</v>
      </c>
    </row>
    <row r="85" customFormat="false" ht="60" hidden="false" customHeight="true" outlineLevel="0" collapsed="false">
      <c r="A85" s="3" t="s">
        <v>18</v>
      </c>
      <c r="B85" s="3" t="s">
        <v>278</v>
      </c>
      <c r="C85" s="3" t="s">
        <v>275</v>
      </c>
      <c r="D85" s="3" t="s">
        <v>279</v>
      </c>
      <c r="E85" s="3" t="s">
        <v>13</v>
      </c>
      <c r="F85" s="3" t="s">
        <v>14</v>
      </c>
      <c r="G85" s="3" t="s">
        <v>25</v>
      </c>
      <c r="H85" s="3" t="s">
        <v>280</v>
      </c>
      <c r="I85" s="3" t="s">
        <v>121</v>
      </c>
    </row>
    <row r="86" customFormat="false" ht="45" hidden="false" customHeight="true" outlineLevel="0" collapsed="false">
      <c r="A86" s="4" t="s">
        <v>22</v>
      </c>
      <c r="B86" s="4" t="s">
        <v>281</v>
      </c>
      <c r="C86" s="4" t="s">
        <v>278</v>
      </c>
      <c r="D86" s="4" t="s">
        <v>282</v>
      </c>
      <c r="E86" s="4" t="s">
        <v>13</v>
      </c>
      <c r="F86" s="4" t="s">
        <v>14</v>
      </c>
      <c r="G86" s="4" t="s">
        <v>25</v>
      </c>
      <c r="H86" s="4" t="s">
        <v>283</v>
      </c>
      <c r="I86" s="4" t="s">
        <v>121</v>
      </c>
    </row>
    <row r="87" customFormat="false" ht="45" hidden="false" customHeight="true" outlineLevel="0" collapsed="false">
      <c r="A87" s="4" t="s">
        <v>22</v>
      </c>
      <c r="B87" s="4" t="s">
        <v>284</v>
      </c>
      <c r="C87" s="4" t="s">
        <v>278</v>
      </c>
      <c r="D87" s="4" t="s">
        <v>285</v>
      </c>
      <c r="E87" s="4" t="s">
        <v>13</v>
      </c>
      <c r="F87" s="4" t="s">
        <v>14</v>
      </c>
      <c r="G87" s="4" t="s">
        <v>15</v>
      </c>
      <c r="H87" s="4" t="s">
        <v>286</v>
      </c>
      <c r="I87" s="4" t="s">
        <v>121</v>
      </c>
    </row>
    <row r="88" customFormat="false" ht="45" hidden="false" customHeight="true" outlineLevel="0" collapsed="false">
      <c r="A88" s="4" t="s">
        <v>22</v>
      </c>
      <c r="B88" s="4" t="s">
        <v>287</v>
      </c>
      <c r="C88" s="4" t="s">
        <v>278</v>
      </c>
      <c r="D88" s="4" t="s">
        <v>288</v>
      </c>
      <c r="E88" s="4" t="s">
        <v>13</v>
      </c>
      <c r="F88" s="4" t="s">
        <v>14</v>
      </c>
      <c r="G88" s="4" t="s">
        <v>15</v>
      </c>
      <c r="H88" s="4" t="s">
        <v>289</v>
      </c>
      <c r="I88" s="4" t="s">
        <v>121</v>
      </c>
    </row>
    <row r="89" customFormat="false" ht="45" hidden="false" customHeight="true" outlineLevel="0" collapsed="false">
      <c r="A89" s="4" t="s">
        <v>22</v>
      </c>
      <c r="B89" s="4" t="s">
        <v>290</v>
      </c>
      <c r="C89" s="4" t="s">
        <v>278</v>
      </c>
      <c r="D89" s="4" t="s">
        <v>291</v>
      </c>
      <c r="E89" s="4" t="s">
        <v>13</v>
      </c>
      <c r="F89" s="4" t="s">
        <v>14</v>
      </c>
      <c r="G89" s="4" t="s">
        <v>25</v>
      </c>
      <c r="H89" s="4" t="s">
        <v>292</v>
      </c>
      <c r="I89" s="4" t="s">
        <v>121</v>
      </c>
    </row>
    <row r="90" customFormat="false" ht="60" hidden="false" customHeight="true" outlineLevel="0" collapsed="false">
      <c r="A90" s="3" t="s">
        <v>18</v>
      </c>
      <c r="B90" s="3" t="s">
        <v>293</v>
      </c>
      <c r="C90" s="3" t="s">
        <v>275</v>
      </c>
      <c r="D90" s="3" t="s">
        <v>294</v>
      </c>
      <c r="E90" s="3" t="s">
        <v>13</v>
      </c>
      <c r="F90" s="3" t="s">
        <v>14</v>
      </c>
      <c r="G90" s="3" t="s">
        <v>15</v>
      </c>
      <c r="H90" s="3" t="s">
        <v>295</v>
      </c>
      <c r="I90" s="3" t="s">
        <v>121</v>
      </c>
    </row>
    <row r="91" customFormat="false" ht="45" hidden="false" customHeight="true" outlineLevel="0" collapsed="false">
      <c r="A91" s="4" t="s">
        <v>22</v>
      </c>
      <c r="B91" s="4" t="s">
        <v>296</v>
      </c>
      <c r="C91" s="4" t="s">
        <v>293</v>
      </c>
      <c r="D91" s="4" t="s">
        <v>297</v>
      </c>
      <c r="E91" s="4" t="s">
        <v>13</v>
      </c>
      <c r="F91" s="4" t="s">
        <v>34</v>
      </c>
      <c r="G91" s="4" t="s">
        <v>15</v>
      </c>
      <c r="H91" s="4" t="s">
        <v>298</v>
      </c>
      <c r="I91" s="4" t="s">
        <v>121</v>
      </c>
    </row>
    <row r="92" customFormat="false" ht="45" hidden="false" customHeight="true" outlineLevel="0" collapsed="false">
      <c r="A92" s="4" t="s">
        <v>22</v>
      </c>
      <c r="B92" s="4" t="s">
        <v>299</v>
      </c>
      <c r="C92" s="4" t="s">
        <v>293</v>
      </c>
      <c r="D92" s="4" t="s">
        <v>300</v>
      </c>
      <c r="E92" s="4" t="s">
        <v>13</v>
      </c>
      <c r="F92" s="4" t="s">
        <v>34</v>
      </c>
      <c r="G92" s="4" t="s">
        <v>15</v>
      </c>
      <c r="H92" s="4" t="s">
        <v>301</v>
      </c>
      <c r="I92" s="4" t="s">
        <v>121</v>
      </c>
    </row>
    <row r="93" customFormat="false" ht="60" hidden="false" customHeight="true" outlineLevel="0" collapsed="false">
      <c r="A93" s="3" t="s">
        <v>18</v>
      </c>
      <c r="B93" s="3" t="s">
        <v>302</v>
      </c>
      <c r="C93" s="3" t="s">
        <v>275</v>
      </c>
      <c r="D93" s="3" t="s">
        <v>303</v>
      </c>
      <c r="E93" s="3" t="s">
        <v>13</v>
      </c>
      <c r="F93" s="3" t="s">
        <v>14</v>
      </c>
      <c r="G93" s="3" t="s">
        <v>25</v>
      </c>
      <c r="H93" s="3" t="s">
        <v>304</v>
      </c>
      <c r="I93" s="3" t="s">
        <v>121</v>
      </c>
    </row>
    <row r="94" customFormat="false" ht="60" hidden="false" customHeight="true" outlineLevel="0" collapsed="false">
      <c r="A94" s="3" t="s">
        <v>18</v>
      </c>
      <c r="B94" s="3" t="s">
        <v>305</v>
      </c>
      <c r="C94" s="3" t="s">
        <v>275</v>
      </c>
      <c r="D94" s="3" t="s">
        <v>306</v>
      </c>
      <c r="E94" s="3" t="s">
        <v>13</v>
      </c>
      <c r="F94" s="3" t="s">
        <v>14</v>
      </c>
      <c r="G94" s="3" t="s">
        <v>15</v>
      </c>
      <c r="H94" s="3" t="s">
        <v>307</v>
      </c>
      <c r="I94" s="3" t="s">
        <v>121</v>
      </c>
    </row>
    <row r="95" customFormat="false" ht="60" hidden="false" customHeight="true" outlineLevel="0" collapsed="false">
      <c r="A95" s="2" t="s">
        <v>9</v>
      </c>
      <c r="B95" s="2" t="s">
        <v>308</v>
      </c>
      <c r="C95" s="2" t="s">
        <v>11</v>
      </c>
      <c r="D95" s="2" t="s">
        <v>309</v>
      </c>
      <c r="E95" s="2" t="s">
        <v>13</v>
      </c>
      <c r="F95" s="2" t="s">
        <v>14</v>
      </c>
      <c r="G95" s="2" t="s">
        <v>15</v>
      </c>
      <c r="H95" s="2" t="s">
        <v>310</v>
      </c>
      <c r="I95" s="2" t="s">
        <v>255</v>
      </c>
    </row>
    <row r="96" customFormat="false" ht="60" hidden="false" customHeight="true" outlineLevel="0" collapsed="false">
      <c r="A96" s="3" t="s">
        <v>18</v>
      </c>
      <c r="B96" s="3" t="s">
        <v>311</v>
      </c>
      <c r="C96" s="3" t="s">
        <v>308</v>
      </c>
      <c r="D96" s="3" t="s">
        <v>312</v>
      </c>
      <c r="E96" s="3" t="s">
        <v>13</v>
      </c>
      <c r="F96" s="3" t="s">
        <v>14</v>
      </c>
      <c r="G96" s="3" t="s">
        <v>15</v>
      </c>
      <c r="H96" s="3" t="s">
        <v>313</v>
      </c>
      <c r="I96" s="3" t="s">
        <v>255</v>
      </c>
    </row>
    <row r="97" customFormat="false" ht="45" hidden="false" customHeight="true" outlineLevel="0" collapsed="false">
      <c r="A97" s="4" t="s">
        <v>22</v>
      </c>
      <c r="B97" s="4" t="s">
        <v>314</v>
      </c>
      <c r="C97" s="4" t="s">
        <v>311</v>
      </c>
      <c r="D97" s="4" t="s">
        <v>315</v>
      </c>
      <c r="E97" s="4" t="s">
        <v>13</v>
      </c>
      <c r="F97" s="4" t="s">
        <v>34</v>
      </c>
      <c r="G97" s="4" t="s">
        <v>15</v>
      </c>
      <c r="H97" s="4" t="s">
        <v>316</v>
      </c>
      <c r="I97" s="4" t="s">
        <v>255</v>
      </c>
    </row>
    <row r="98" customFormat="false" ht="45" hidden="false" customHeight="true" outlineLevel="0" collapsed="false">
      <c r="A98" s="4" t="s">
        <v>22</v>
      </c>
      <c r="B98" s="4" t="s">
        <v>317</v>
      </c>
      <c r="C98" s="4" t="s">
        <v>311</v>
      </c>
      <c r="D98" s="4" t="s">
        <v>318</v>
      </c>
      <c r="E98" s="4" t="s">
        <v>13</v>
      </c>
      <c r="F98" s="4" t="s">
        <v>14</v>
      </c>
      <c r="G98" s="4" t="s">
        <v>15</v>
      </c>
      <c r="H98" s="4" t="s">
        <v>319</v>
      </c>
      <c r="I98" s="4" t="s">
        <v>255</v>
      </c>
    </row>
    <row r="99" customFormat="false" ht="60" hidden="false" customHeight="true" outlineLevel="0" collapsed="false">
      <c r="A99" s="3" t="s">
        <v>18</v>
      </c>
      <c r="B99" s="3" t="s">
        <v>320</v>
      </c>
      <c r="C99" s="3" t="s">
        <v>308</v>
      </c>
      <c r="D99" s="3" t="s">
        <v>321</v>
      </c>
      <c r="E99" s="3" t="s">
        <v>13</v>
      </c>
      <c r="F99" s="3" t="s">
        <v>34</v>
      </c>
      <c r="G99" s="3" t="s">
        <v>15</v>
      </c>
      <c r="H99" s="3" t="s">
        <v>322</v>
      </c>
      <c r="I99" s="3" t="s">
        <v>255</v>
      </c>
    </row>
    <row r="100" customFormat="false" ht="60" hidden="false" customHeight="true" outlineLevel="0" collapsed="false">
      <c r="A100" s="3" t="s">
        <v>18</v>
      </c>
      <c r="B100" s="3" t="s">
        <v>323</v>
      </c>
      <c r="C100" s="3" t="s">
        <v>308</v>
      </c>
      <c r="D100" s="3" t="s">
        <v>324</v>
      </c>
      <c r="E100" s="3" t="s">
        <v>13</v>
      </c>
      <c r="F100" s="3" t="s">
        <v>14</v>
      </c>
      <c r="G100" s="3" t="s">
        <v>15</v>
      </c>
      <c r="H100" s="3" t="s">
        <v>325</v>
      </c>
      <c r="I100" s="3" t="s">
        <v>255</v>
      </c>
    </row>
    <row r="101" customFormat="false" ht="60" hidden="false" customHeight="true" outlineLevel="0" collapsed="false">
      <c r="A101" s="3" t="s">
        <v>18</v>
      </c>
      <c r="B101" s="3" t="s">
        <v>326</v>
      </c>
      <c r="C101" s="3" t="s">
        <v>308</v>
      </c>
      <c r="D101" s="3" t="s">
        <v>327</v>
      </c>
      <c r="E101" s="3" t="s">
        <v>13</v>
      </c>
      <c r="F101" s="3" t="s">
        <v>14</v>
      </c>
      <c r="G101" s="3" t="s">
        <v>15</v>
      </c>
      <c r="H101" s="3" t="s">
        <v>328</v>
      </c>
      <c r="I101" s="3" t="s">
        <v>255</v>
      </c>
    </row>
    <row r="102" customFormat="false" ht="45" hidden="false" customHeight="true" outlineLevel="0" collapsed="false">
      <c r="A102" s="4" t="s">
        <v>22</v>
      </c>
      <c r="B102" s="4" t="s">
        <v>329</v>
      </c>
      <c r="C102" s="4" t="s">
        <v>326</v>
      </c>
      <c r="D102" s="4" t="s">
        <v>330</v>
      </c>
      <c r="E102" s="4" t="s">
        <v>13</v>
      </c>
      <c r="F102" s="4" t="s">
        <v>14</v>
      </c>
      <c r="G102" s="4" t="s">
        <v>15</v>
      </c>
      <c r="H102" s="4" t="s">
        <v>331</v>
      </c>
      <c r="I102" s="4" t="s">
        <v>255</v>
      </c>
    </row>
    <row r="103" customFormat="false" ht="45" hidden="false" customHeight="true" outlineLevel="0" collapsed="false">
      <c r="A103" s="4" t="s">
        <v>22</v>
      </c>
      <c r="B103" s="4" t="s">
        <v>332</v>
      </c>
      <c r="C103" s="4" t="s">
        <v>326</v>
      </c>
      <c r="D103" s="4" t="s">
        <v>333</v>
      </c>
      <c r="E103" s="4" t="s">
        <v>13</v>
      </c>
      <c r="F103" s="4" t="s">
        <v>14</v>
      </c>
      <c r="G103" s="4" t="s">
        <v>15</v>
      </c>
      <c r="H103" s="4" t="s">
        <v>334</v>
      </c>
      <c r="I103" s="4" t="s">
        <v>255</v>
      </c>
    </row>
    <row r="104" customFormat="false" ht="60" hidden="false" customHeight="true" outlineLevel="0" collapsed="false">
      <c r="A104" s="2" t="s">
        <v>9</v>
      </c>
      <c r="B104" s="2" t="s">
        <v>335</v>
      </c>
      <c r="C104" s="2" t="s">
        <v>11</v>
      </c>
      <c r="D104" s="2" t="s">
        <v>336</v>
      </c>
      <c r="E104" s="2" t="s">
        <v>13</v>
      </c>
      <c r="F104" s="2" t="s">
        <v>14</v>
      </c>
      <c r="G104" s="2" t="s">
        <v>15</v>
      </c>
      <c r="H104" s="2" t="s">
        <v>337</v>
      </c>
      <c r="I104" s="2" t="s">
        <v>107</v>
      </c>
    </row>
    <row r="105" customFormat="false" ht="60" hidden="false" customHeight="true" outlineLevel="0" collapsed="false">
      <c r="A105" s="3" t="s">
        <v>18</v>
      </c>
      <c r="B105" s="3" t="s">
        <v>338</v>
      </c>
      <c r="C105" s="3" t="s">
        <v>335</v>
      </c>
      <c r="D105" s="3" t="s">
        <v>339</v>
      </c>
      <c r="E105" s="3" t="s">
        <v>13</v>
      </c>
      <c r="F105" s="3" t="s">
        <v>14</v>
      </c>
      <c r="G105" s="3" t="s">
        <v>15</v>
      </c>
      <c r="H105" s="3" t="s">
        <v>340</v>
      </c>
      <c r="I105" s="3" t="s">
        <v>107</v>
      </c>
    </row>
    <row r="106" customFormat="false" ht="45" hidden="false" customHeight="true" outlineLevel="0" collapsed="false">
      <c r="A106" s="4" t="s">
        <v>22</v>
      </c>
      <c r="B106" s="4" t="s">
        <v>341</v>
      </c>
      <c r="C106" s="4" t="s">
        <v>338</v>
      </c>
      <c r="D106" s="4" t="s">
        <v>342</v>
      </c>
      <c r="E106" s="4" t="s">
        <v>13</v>
      </c>
      <c r="F106" s="4" t="s">
        <v>14</v>
      </c>
      <c r="G106" s="4" t="s">
        <v>15</v>
      </c>
      <c r="H106" s="4" t="s">
        <v>343</v>
      </c>
      <c r="I106" s="4" t="s">
        <v>107</v>
      </c>
    </row>
    <row r="107" customFormat="false" ht="45" hidden="false" customHeight="true" outlineLevel="0" collapsed="false">
      <c r="A107" s="4" t="s">
        <v>22</v>
      </c>
      <c r="B107" s="4" t="s">
        <v>344</v>
      </c>
      <c r="C107" s="4" t="s">
        <v>338</v>
      </c>
      <c r="D107" s="4" t="s">
        <v>345</v>
      </c>
      <c r="E107" s="4" t="s">
        <v>13</v>
      </c>
      <c r="F107" s="4" t="s">
        <v>14</v>
      </c>
      <c r="G107" s="4" t="s">
        <v>25</v>
      </c>
      <c r="H107" s="4" t="s">
        <v>346</v>
      </c>
      <c r="I107" s="4" t="s">
        <v>107</v>
      </c>
    </row>
    <row r="108" customFormat="false" ht="45" hidden="false" customHeight="true" outlineLevel="0" collapsed="false">
      <c r="A108" s="4" t="s">
        <v>22</v>
      </c>
      <c r="B108" s="4" t="s">
        <v>347</v>
      </c>
      <c r="C108" s="4" t="s">
        <v>338</v>
      </c>
      <c r="D108" s="4" t="s">
        <v>348</v>
      </c>
      <c r="E108" s="4" t="s">
        <v>33</v>
      </c>
      <c r="F108" s="4" t="s">
        <v>14</v>
      </c>
      <c r="G108" s="4" t="s">
        <v>25</v>
      </c>
      <c r="H108" s="4" t="s">
        <v>349</v>
      </c>
      <c r="I108" s="4" t="s">
        <v>107</v>
      </c>
    </row>
    <row r="109" customFormat="false" ht="60" hidden="false" customHeight="true" outlineLevel="0" collapsed="false">
      <c r="A109" s="3" t="s">
        <v>18</v>
      </c>
      <c r="B109" s="3" t="s">
        <v>350</v>
      </c>
      <c r="C109" s="3" t="s">
        <v>335</v>
      </c>
      <c r="D109" s="3" t="s">
        <v>351</v>
      </c>
      <c r="E109" s="3" t="s">
        <v>13</v>
      </c>
      <c r="F109" s="3" t="s">
        <v>14</v>
      </c>
      <c r="G109" s="3" t="s">
        <v>15</v>
      </c>
      <c r="H109" s="3" t="s">
        <v>352</v>
      </c>
      <c r="I109" s="3" t="s">
        <v>216</v>
      </c>
    </row>
    <row r="110" customFormat="false" ht="45" hidden="false" customHeight="true" outlineLevel="0" collapsed="false">
      <c r="A110" s="4" t="s">
        <v>22</v>
      </c>
      <c r="B110" s="4" t="s">
        <v>353</v>
      </c>
      <c r="C110" s="4" t="s">
        <v>350</v>
      </c>
      <c r="D110" s="4" t="s">
        <v>354</v>
      </c>
      <c r="E110" s="4" t="s">
        <v>13</v>
      </c>
      <c r="F110" s="4" t="s">
        <v>14</v>
      </c>
      <c r="G110" s="4" t="s">
        <v>25</v>
      </c>
      <c r="H110" s="4" t="s">
        <v>355</v>
      </c>
      <c r="I110" s="4" t="s">
        <v>216</v>
      </c>
    </row>
    <row r="111" customFormat="false" ht="60" hidden="false" customHeight="true" outlineLevel="0" collapsed="false">
      <c r="A111" s="3" t="s">
        <v>18</v>
      </c>
      <c r="B111" s="3" t="s">
        <v>356</v>
      </c>
      <c r="C111" s="3" t="s">
        <v>335</v>
      </c>
      <c r="D111" s="3" t="s">
        <v>357</v>
      </c>
      <c r="E111" s="3" t="s">
        <v>13</v>
      </c>
      <c r="F111" s="3" t="s">
        <v>14</v>
      </c>
      <c r="G111" s="3" t="s">
        <v>15</v>
      </c>
      <c r="H111" s="3" t="s">
        <v>358</v>
      </c>
      <c r="I111" s="3" t="s">
        <v>107</v>
      </c>
    </row>
    <row r="112" customFormat="false" ht="60" hidden="false" customHeight="true" outlineLevel="0" collapsed="false">
      <c r="A112" s="3" t="s">
        <v>18</v>
      </c>
      <c r="B112" s="3" t="s">
        <v>359</v>
      </c>
      <c r="C112" s="3" t="s">
        <v>335</v>
      </c>
      <c r="D112" s="3" t="s">
        <v>360</v>
      </c>
      <c r="E112" s="3" t="s">
        <v>13</v>
      </c>
      <c r="F112" s="3" t="s">
        <v>14</v>
      </c>
      <c r="G112" s="3" t="s">
        <v>15</v>
      </c>
      <c r="H112" s="3" t="s">
        <v>361</v>
      </c>
      <c r="I112" s="3" t="s">
        <v>107</v>
      </c>
    </row>
    <row r="113" customFormat="false" ht="45" hidden="false" customHeight="true" outlineLevel="0" collapsed="false">
      <c r="A113" s="4" t="s">
        <v>22</v>
      </c>
      <c r="B113" s="4" t="s">
        <v>362</v>
      </c>
      <c r="C113" s="4" t="s">
        <v>359</v>
      </c>
      <c r="D113" s="4" t="s">
        <v>363</v>
      </c>
      <c r="E113" s="4" t="s">
        <v>13</v>
      </c>
      <c r="F113" s="4" t="s">
        <v>14</v>
      </c>
      <c r="G113" s="4" t="s">
        <v>25</v>
      </c>
      <c r="H113" s="4" t="s">
        <v>364</v>
      </c>
      <c r="I113" s="4" t="s">
        <v>107</v>
      </c>
    </row>
    <row r="114" customFormat="false" ht="45" hidden="false" customHeight="true" outlineLevel="0" collapsed="false">
      <c r="A114" s="4" t="s">
        <v>22</v>
      </c>
      <c r="B114" s="4" t="s">
        <v>365</v>
      </c>
      <c r="C114" s="4" t="s">
        <v>359</v>
      </c>
      <c r="D114" s="4" t="s">
        <v>366</v>
      </c>
      <c r="E114" s="4" t="s">
        <v>33</v>
      </c>
      <c r="F114" s="4" t="s">
        <v>14</v>
      </c>
      <c r="G114" s="4" t="s">
        <v>15</v>
      </c>
      <c r="H114" s="4" t="s">
        <v>367</v>
      </c>
      <c r="I114" s="4" t="s">
        <v>107</v>
      </c>
    </row>
    <row r="115" customFormat="false" ht="60" hidden="false" customHeight="true" outlineLevel="0" collapsed="false">
      <c r="A115" s="2" t="s">
        <v>9</v>
      </c>
      <c r="B115" s="2" t="s">
        <v>368</v>
      </c>
      <c r="C115" s="2" t="s">
        <v>11</v>
      </c>
      <c r="D115" s="2" t="s">
        <v>369</v>
      </c>
      <c r="E115" s="2" t="s">
        <v>13</v>
      </c>
      <c r="F115" s="2" t="s">
        <v>14</v>
      </c>
      <c r="G115" s="2" t="s">
        <v>15</v>
      </c>
      <c r="H115" s="2" t="s">
        <v>370</v>
      </c>
      <c r="I115" s="2" t="s">
        <v>371</v>
      </c>
    </row>
    <row r="116" customFormat="false" ht="60" hidden="false" customHeight="true" outlineLevel="0" collapsed="false">
      <c r="A116" s="3" t="s">
        <v>18</v>
      </c>
      <c r="B116" s="3" t="s">
        <v>372</v>
      </c>
      <c r="C116" s="3" t="s">
        <v>368</v>
      </c>
      <c r="D116" s="3" t="s">
        <v>373</v>
      </c>
      <c r="E116" s="3" t="s">
        <v>13</v>
      </c>
      <c r="F116" s="3" t="s">
        <v>14</v>
      </c>
      <c r="G116" s="3" t="s">
        <v>25</v>
      </c>
      <c r="H116" s="3" t="s">
        <v>374</v>
      </c>
      <c r="I116" s="3" t="s">
        <v>371</v>
      </c>
    </row>
    <row r="117" customFormat="false" ht="45" hidden="false" customHeight="true" outlineLevel="0" collapsed="false">
      <c r="A117" s="4" t="s">
        <v>22</v>
      </c>
      <c r="B117" s="4" t="s">
        <v>375</v>
      </c>
      <c r="C117" s="4" t="s">
        <v>372</v>
      </c>
      <c r="D117" s="4" t="s">
        <v>376</v>
      </c>
      <c r="E117" s="4" t="s">
        <v>33</v>
      </c>
      <c r="F117" s="4" t="s">
        <v>14</v>
      </c>
      <c r="G117" s="4" t="s">
        <v>25</v>
      </c>
      <c r="H117" s="4" t="s">
        <v>377</v>
      </c>
      <c r="I117" s="4" t="s">
        <v>371</v>
      </c>
    </row>
    <row r="118" customFormat="false" ht="60" hidden="false" customHeight="true" outlineLevel="0" collapsed="false">
      <c r="A118" s="3" t="s">
        <v>18</v>
      </c>
      <c r="B118" s="3" t="s">
        <v>378</v>
      </c>
      <c r="C118" s="3" t="s">
        <v>368</v>
      </c>
      <c r="D118" s="3" t="s">
        <v>379</v>
      </c>
      <c r="E118" s="3" t="s">
        <v>13</v>
      </c>
      <c r="F118" s="3" t="s">
        <v>14</v>
      </c>
      <c r="G118" s="3" t="s">
        <v>15</v>
      </c>
      <c r="H118" s="3" t="s">
        <v>380</v>
      </c>
      <c r="I118" s="3" t="s">
        <v>371</v>
      </c>
    </row>
    <row r="119" customFormat="false" ht="60" hidden="false" customHeight="true" outlineLevel="0" collapsed="false">
      <c r="A119" s="3" t="s">
        <v>18</v>
      </c>
      <c r="B119" s="3" t="s">
        <v>381</v>
      </c>
      <c r="C119" s="3" t="s">
        <v>368</v>
      </c>
      <c r="D119" s="3" t="s">
        <v>382</v>
      </c>
      <c r="E119" s="3" t="s">
        <v>33</v>
      </c>
      <c r="F119" s="3" t="s">
        <v>34</v>
      </c>
      <c r="G119" s="3" t="s">
        <v>15</v>
      </c>
      <c r="H119" s="3" t="s">
        <v>383</v>
      </c>
      <c r="I119" s="3" t="s">
        <v>371</v>
      </c>
    </row>
    <row r="120" customFormat="false" ht="60" hidden="false" customHeight="true" outlineLevel="0" collapsed="false">
      <c r="A120" s="2" t="s">
        <v>9</v>
      </c>
      <c r="B120" s="2" t="s">
        <v>384</v>
      </c>
      <c r="C120" s="2" t="s">
        <v>11</v>
      </c>
      <c r="D120" s="2" t="s">
        <v>385</v>
      </c>
      <c r="E120" s="2" t="s">
        <v>13</v>
      </c>
      <c r="F120" s="2" t="s">
        <v>14</v>
      </c>
      <c r="G120" s="2" t="s">
        <v>15</v>
      </c>
      <c r="H120" s="2" t="s">
        <v>386</v>
      </c>
      <c r="I120" s="2" t="s">
        <v>387</v>
      </c>
    </row>
    <row r="121" customFormat="false" ht="60" hidden="false" customHeight="true" outlineLevel="0" collapsed="false">
      <c r="A121" s="3" t="s">
        <v>18</v>
      </c>
      <c r="B121" s="3" t="s">
        <v>388</v>
      </c>
      <c r="C121" s="3" t="s">
        <v>384</v>
      </c>
      <c r="D121" s="3" t="s">
        <v>389</v>
      </c>
      <c r="E121" s="3" t="s">
        <v>13</v>
      </c>
      <c r="F121" s="3" t="s">
        <v>14</v>
      </c>
      <c r="G121" s="3" t="s">
        <v>15</v>
      </c>
      <c r="H121" s="3" t="s">
        <v>390</v>
      </c>
      <c r="I121" s="3" t="s">
        <v>387</v>
      </c>
    </row>
    <row r="122" customFormat="false" ht="45" hidden="false" customHeight="true" outlineLevel="0" collapsed="false">
      <c r="A122" s="4" t="s">
        <v>22</v>
      </c>
      <c r="B122" s="4" t="s">
        <v>391</v>
      </c>
      <c r="C122" s="4" t="s">
        <v>388</v>
      </c>
      <c r="D122" s="4" t="s">
        <v>392</v>
      </c>
      <c r="E122" s="4" t="s">
        <v>13</v>
      </c>
      <c r="F122" s="4" t="s">
        <v>14</v>
      </c>
      <c r="G122" s="4" t="s">
        <v>15</v>
      </c>
      <c r="H122" s="4" t="s">
        <v>393</v>
      </c>
      <c r="I122" s="4" t="s">
        <v>387</v>
      </c>
    </row>
    <row r="123" customFormat="false" ht="45" hidden="false" customHeight="true" outlineLevel="0" collapsed="false">
      <c r="A123" s="4" t="s">
        <v>22</v>
      </c>
      <c r="B123" s="4" t="s">
        <v>394</v>
      </c>
      <c r="C123" s="4" t="s">
        <v>388</v>
      </c>
      <c r="D123" s="4" t="s">
        <v>395</v>
      </c>
      <c r="E123" s="4" t="s">
        <v>13</v>
      </c>
      <c r="F123" s="4" t="s">
        <v>14</v>
      </c>
      <c r="G123" s="4" t="s">
        <v>15</v>
      </c>
      <c r="H123" s="4" t="s">
        <v>396</v>
      </c>
      <c r="I123" s="4" t="s">
        <v>387</v>
      </c>
    </row>
    <row r="124" customFormat="false" ht="60" hidden="false" customHeight="true" outlineLevel="0" collapsed="false">
      <c r="A124" s="3" t="s">
        <v>18</v>
      </c>
      <c r="B124" s="3" t="s">
        <v>397</v>
      </c>
      <c r="C124" s="3" t="s">
        <v>384</v>
      </c>
      <c r="D124" s="3" t="s">
        <v>398</v>
      </c>
      <c r="E124" s="3" t="s">
        <v>13</v>
      </c>
      <c r="F124" s="3" t="s">
        <v>14</v>
      </c>
      <c r="G124" s="3" t="s">
        <v>25</v>
      </c>
      <c r="H124" s="3" t="s">
        <v>399</v>
      </c>
      <c r="I124" s="3" t="s">
        <v>387</v>
      </c>
    </row>
    <row r="125" customFormat="false" ht="60" hidden="false" customHeight="true" outlineLevel="0" collapsed="false">
      <c r="A125" s="3" t="s">
        <v>18</v>
      </c>
      <c r="B125" s="3" t="s">
        <v>400</v>
      </c>
      <c r="C125" s="3" t="s">
        <v>384</v>
      </c>
      <c r="D125" s="3" t="s">
        <v>401</v>
      </c>
      <c r="E125" s="3" t="s">
        <v>13</v>
      </c>
      <c r="F125" s="3" t="s">
        <v>14</v>
      </c>
      <c r="G125" s="3" t="s">
        <v>25</v>
      </c>
      <c r="H125" s="3" t="s">
        <v>402</v>
      </c>
      <c r="I125" s="3" t="s">
        <v>387</v>
      </c>
    </row>
    <row r="126" customFormat="false" ht="60" hidden="false" customHeight="true" outlineLevel="0" collapsed="false">
      <c r="A126" s="3" t="s">
        <v>18</v>
      </c>
      <c r="B126" s="3" t="s">
        <v>403</v>
      </c>
      <c r="C126" s="3" t="s">
        <v>384</v>
      </c>
      <c r="D126" s="3" t="s">
        <v>404</v>
      </c>
      <c r="E126" s="3" t="s">
        <v>13</v>
      </c>
      <c r="F126" s="3" t="s">
        <v>14</v>
      </c>
      <c r="G126" s="3" t="s">
        <v>25</v>
      </c>
      <c r="H126" s="3" t="s">
        <v>405</v>
      </c>
      <c r="I126" s="3" t="s">
        <v>387</v>
      </c>
    </row>
    <row r="127" customFormat="false" ht="60" hidden="false" customHeight="true" outlineLevel="0" collapsed="false">
      <c r="A127" s="3" t="s">
        <v>18</v>
      </c>
      <c r="B127" s="3" t="s">
        <v>406</v>
      </c>
      <c r="C127" s="3" t="s">
        <v>384</v>
      </c>
      <c r="D127" s="3" t="s">
        <v>407</v>
      </c>
      <c r="E127" s="3" t="s">
        <v>13</v>
      </c>
      <c r="F127" s="3" t="s">
        <v>14</v>
      </c>
      <c r="G127" s="3" t="s">
        <v>25</v>
      </c>
      <c r="H127" s="3" t="s">
        <v>408</v>
      </c>
      <c r="I127" s="3" t="s">
        <v>387</v>
      </c>
    </row>
    <row r="128" customFormat="false" ht="45" hidden="false" customHeight="true" outlineLevel="0" collapsed="false">
      <c r="A128" s="4" t="s">
        <v>22</v>
      </c>
      <c r="B128" s="4" t="s">
        <v>409</v>
      </c>
      <c r="C128" s="4" t="s">
        <v>406</v>
      </c>
      <c r="D128" s="4" t="s">
        <v>410</v>
      </c>
      <c r="E128" s="4" t="s">
        <v>13</v>
      </c>
      <c r="F128" s="4" t="s">
        <v>14</v>
      </c>
      <c r="G128" s="4" t="s">
        <v>25</v>
      </c>
      <c r="H128" s="4" t="s">
        <v>411</v>
      </c>
      <c r="I128" s="4" t="s">
        <v>387</v>
      </c>
    </row>
    <row r="129" customFormat="false" ht="45" hidden="false" customHeight="true" outlineLevel="0" collapsed="false">
      <c r="A129" s="4" t="s">
        <v>22</v>
      </c>
      <c r="B129" s="4" t="s">
        <v>412</v>
      </c>
      <c r="C129" s="4" t="s">
        <v>406</v>
      </c>
      <c r="D129" s="4" t="s">
        <v>413</v>
      </c>
      <c r="E129" s="4" t="s">
        <v>13</v>
      </c>
      <c r="F129" s="4" t="s">
        <v>14</v>
      </c>
      <c r="G129" s="4" t="s">
        <v>15</v>
      </c>
      <c r="H129" s="4" t="s">
        <v>414</v>
      </c>
      <c r="I129" s="4" t="s">
        <v>387</v>
      </c>
    </row>
    <row r="130" customFormat="false" ht="45" hidden="false" customHeight="true" outlineLevel="0" collapsed="false">
      <c r="A130" s="4" t="s">
        <v>22</v>
      </c>
      <c r="B130" s="4" t="s">
        <v>415</v>
      </c>
      <c r="C130" s="4" t="s">
        <v>406</v>
      </c>
      <c r="D130" s="4" t="s">
        <v>416</v>
      </c>
      <c r="E130" s="4" t="s">
        <v>13</v>
      </c>
      <c r="F130" s="4" t="s">
        <v>34</v>
      </c>
      <c r="G130" s="4" t="s">
        <v>15</v>
      </c>
      <c r="H130" s="4" t="s">
        <v>417</v>
      </c>
      <c r="I130" s="4" t="s">
        <v>387</v>
      </c>
    </row>
    <row r="131" customFormat="false" ht="45" hidden="false" customHeight="true" outlineLevel="0" collapsed="false">
      <c r="A131" s="4" t="s">
        <v>22</v>
      </c>
      <c r="B131" s="4" t="s">
        <v>418</v>
      </c>
      <c r="C131" s="4" t="s">
        <v>406</v>
      </c>
      <c r="D131" s="4" t="s">
        <v>419</v>
      </c>
      <c r="E131" s="4" t="s">
        <v>13</v>
      </c>
      <c r="F131" s="4" t="s">
        <v>14</v>
      </c>
      <c r="G131" s="4" t="s">
        <v>25</v>
      </c>
      <c r="H131" s="4" t="s">
        <v>420</v>
      </c>
      <c r="I131" s="4" t="s">
        <v>387</v>
      </c>
    </row>
    <row r="132" customFormat="false" ht="60" hidden="false" customHeight="true" outlineLevel="0" collapsed="false">
      <c r="A132" s="2" t="s">
        <v>9</v>
      </c>
      <c r="B132" s="2" t="s">
        <v>421</v>
      </c>
      <c r="C132" s="2" t="s">
        <v>11</v>
      </c>
      <c r="D132" s="2" t="s">
        <v>422</v>
      </c>
      <c r="E132" s="2" t="s">
        <v>13</v>
      </c>
      <c r="F132" s="2" t="s">
        <v>14</v>
      </c>
      <c r="G132" s="2" t="s">
        <v>25</v>
      </c>
      <c r="H132" s="2" t="s">
        <v>423</v>
      </c>
      <c r="I132" s="2" t="s">
        <v>170</v>
      </c>
    </row>
    <row r="133" customFormat="false" ht="60" hidden="false" customHeight="true" outlineLevel="0" collapsed="false">
      <c r="A133" s="3" t="s">
        <v>18</v>
      </c>
      <c r="B133" s="3" t="s">
        <v>424</v>
      </c>
      <c r="C133" s="3" t="s">
        <v>421</v>
      </c>
      <c r="D133" s="3" t="s">
        <v>425</v>
      </c>
      <c r="E133" s="3" t="s">
        <v>13</v>
      </c>
      <c r="F133" s="3" t="s">
        <v>14</v>
      </c>
      <c r="G133" s="3" t="s">
        <v>25</v>
      </c>
      <c r="H133" s="3" t="s">
        <v>426</v>
      </c>
      <c r="I133" s="3" t="s">
        <v>170</v>
      </c>
    </row>
    <row r="134" customFormat="false" ht="45" hidden="false" customHeight="true" outlineLevel="0" collapsed="false">
      <c r="A134" s="4" t="s">
        <v>22</v>
      </c>
      <c r="B134" s="4" t="s">
        <v>427</v>
      </c>
      <c r="C134" s="4" t="s">
        <v>424</v>
      </c>
      <c r="D134" s="4" t="s">
        <v>428</v>
      </c>
      <c r="E134" s="4" t="s">
        <v>13</v>
      </c>
      <c r="F134" s="4" t="s">
        <v>14</v>
      </c>
      <c r="G134" s="4" t="s">
        <v>25</v>
      </c>
      <c r="H134" s="4" t="s">
        <v>429</v>
      </c>
      <c r="I134" s="4" t="s">
        <v>170</v>
      </c>
    </row>
    <row r="135" customFormat="false" ht="45" hidden="false" customHeight="true" outlineLevel="0" collapsed="false">
      <c r="A135" s="4" t="s">
        <v>22</v>
      </c>
      <c r="B135" s="4" t="s">
        <v>430</v>
      </c>
      <c r="C135" s="4" t="s">
        <v>424</v>
      </c>
      <c r="D135" s="4" t="s">
        <v>431</v>
      </c>
      <c r="E135" s="4" t="s">
        <v>13</v>
      </c>
      <c r="F135" s="4" t="s">
        <v>14</v>
      </c>
      <c r="G135" s="4" t="s">
        <v>25</v>
      </c>
      <c r="H135" s="4" t="s">
        <v>432</v>
      </c>
      <c r="I135" s="4" t="s">
        <v>170</v>
      </c>
    </row>
    <row r="136" customFormat="false" ht="60" hidden="false" customHeight="true" outlineLevel="0" collapsed="false">
      <c r="A136" s="3" t="s">
        <v>18</v>
      </c>
      <c r="B136" s="3" t="s">
        <v>433</v>
      </c>
      <c r="C136" s="3" t="s">
        <v>421</v>
      </c>
      <c r="D136" s="3" t="s">
        <v>434</v>
      </c>
      <c r="E136" s="3" t="s">
        <v>13</v>
      </c>
      <c r="F136" s="3" t="s">
        <v>14</v>
      </c>
      <c r="G136" s="3" t="s">
        <v>15</v>
      </c>
      <c r="H136" s="3" t="s">
        <v>435</v>
      </c>
      <c r="I136" s="3" t="s">
        <v>170</v>
      </c>
    </row>
    <row r="137" customFormat="false" ht="45" hidden="false" customHeight="true" outlineLevel="0" collapsed="false">
      <c r="A137" s="4" t="s">
        <v>22</v>
      </c>
      <c r="B137" s="4" t="s">
        <v>436</v>
      </c>
      <c r="C137" s="4" t="s">
        <v>433</v>
      </c>
      <c r="D137" s="4" t="s">
        <v>437</v>
      </c>
      <c r="E137" s="4" t="s">
        <v>13</v>
      </c>
      <c r="F137" s="4" t="s">
        <v>14</v>
      </c>
      <c r="G137" s="4" t="s">
        <v>15</v>
      </c>
      <c r="H137" s="4" t="s">
        <v>438</v>
      </c>
      <c r="I137" s="4" t="s">
        <v>170</v>
      </c>
    </row>
    <row r="138" customFormat="false" ht="45" hidden="false" customHeight="true" outlineLevel="0" collapsed="false">
      <c r="A138" s="4" t="s">
        <v>22</v>
      </c>
      <c r="B138" s="4" t="s">
        <v>439</v>
      </c>
      <c r="C138" s="4" t="s">
        <v>433</v>
      </c>
      <c r="D138" s="4" t="s">
        <v>440</v>
      </c>
      <c r="E138" s="4" t="s">
        <v>13</v>
      </c>
      <c r="F138" s="4" t="s">
        <v>14</v>
      </c>
      <c r="G138" s="4" t="s">
        <v>25</v>
      </c>
      <c r="H138" s="4" t="s">
        <v>441</v>
      </c>
      <c r="I138" s="4" t="s">
        <v>170</v>
      </c>
    </row>
    <row r="139" customFormat="false" ht="60" hidden="false" customHeight="true" outlineLevel="0" collapsed="false">
      <c r="A139" s="3" t="s">
        <v>18</v>
      </c>
      <c r="B139" s="3" t="s">
        <v>442</v>
      </c>
      <c r="C139" s="3" t="s">
        <v>421</v>
      </c>
      <c r="D139" s="3" t="s">
        <v>443</v>
      </c>
      <c r="E139" s="3" t="s">
        <v>13</v>
      </c>
      <c r="F139" s="3" t="s">
        <v>14</v>
      </c>
      <c r="G139" s="3" t="s">
        <v>25</v>
      </c>
      <c r="H139" s="3" t="s">
        <v>444</v>
      </c>
      <c r="I139" s="3" t="s">
        <v>170</v>
      </c>
    </row>
    <row r="140" customFormat="false" ht="45" hidden="false" customHeight="true" outlineLevel="0" collapsed="false">
      <c r="A140" s="4" t="s">
        <v>22</v>
      </c>
      <c r="B140" s="4" t="s">
        <v>445</v>
      </c>
      <c r="C140" s="4" t="s">
        <v>442</v>
      </c>
      <c r="D140" s="4" t="s">
        <v>446</v>
      </c>
      <c r="E140" s="4" t="s">
        <v>13</v>
      </c>
      <c r="F140" s="4" t="s">
        <v>14</v>
      </c>
      <c r="G140" s="4" t="s">
        <v>25</v>
      </c>
      <c r="H140" s="4" t="s">
        <v>447</v>
      </c>
      <c r="I140" s="4" t="s">
        <v>170</v>
      </c>
    </row>
    <row r="141" customFormat="false" ht="45" hidden="false" customHeight="true" outlineLevel="0" collapsed="false">
      <c r="A141" s="4" t="s">
        <v>22</v>
      </c>
      <c r="B141" s="4" t="s">
        <v>448</v>
      </c>
      <c r="C141" s="4" t="s">
        <v>442</v>
      </c>
      <c r="D141" s="4" t="s">
        <v>449</v>
      </c>
      <c r="E141" s="4" t="s">
        <v>33</v>
      </c>
      <c r="F141" s="4" t="s">
        <v>14</v>
      </c>
      <c r="G141" s="4" t="s">
        <v>35</v>
      </c>
      <c r="H141" s="4" t="s">
        <v>450</v>
      </c>
      <c r="I141" s="4" t="s">
        <v>170</v>
      </c>
    </row>
    <row r="142" customFormat="false" ht="45" hidden="false" customHeight="true" outlineLevel="0" collapsed="false">
      <c r="A142" s="4" t="s">
        <v>22</v>
      </c>
      <c r="B142" s="4" t="s">
        <v>451</v>
      </c>
      <c r="C142" s="4" t="s">
        <v>442</v>
      </c>
      <c r="D142" s="4" t="s">
        <v>452</v>
      </c>
      <c r="E142" s="4" t="s">
        <v>13</v>
      </c>
      <c r="F142" s="4" t="s">
        <v>14</v>
      </c>
      <c r="G142" s="4" t="s">
        <v>25</v>
      </c>
      <c r="H142" s="4" t="s">
        <v>453</v>
      </c>
      <c r="I142" s="4" t="s">
        <v>170</v>
      </c>
    </row>
    <row r="143" customFormat="false" ht="60" hidden="false" customHeight="true" outlineLevel="0" collapsed="false">
      <c r="A143" s="2" t="s">
        <v>9</v>
      </c>
      <c r="B143" s="2" t="s">
        <v>454</v>
      </c>
      <c r="C143" s="2" t="s">
        <v>11</v>
      </c>
      <c r="D143" s="2" t="s">
        <v>455</v>
      </c>
      <c r="E143" s="2" t="s">
        <v>13</v>
      </c>
      <c r="F143" s="2" t="s">
        <v>14</v>
      </c>
      <c r="G143" s="2" t="s">
        <v>25</v>
      </c>
      <c r="H143" s="2" t="s">
        <v>456</v>
      </c>
      <c r="I143" s="2" t="s">
        <v>371</v>
      </c>
    </row>
    <row r="144" customFormat="false" ht="60" hidden="false" customHeight="true" outlineLevel="0" collapsed="false">
      <c r="A144" s="3" t="s">
        <v>18</v>
      </c>
      <c r="B144" s="3" t="s">
        <v>457</v>
      </c>
      <c r="C144" s="3" t="s">
        <v>454</v>
      </c>
      <c r="D144" s="3" t="s">
        <v>458</v>
      </c>
      <c r="E144" s="3" t="s">
        <v>13</v>
      </c>
      <c r="F144" s="3" t="s">
        <v>14</v>
      </c>
      <c r="G144" s="3" t="s">
        <v>25</v>
      </c>
      <c r="H144" s="3" t="s">
        <v>459</v>
      </c>
      <c r="I144" s="3" t="s">
        <v>121</v>
      </c>
    </row>
    <row r="145" customFormat="false" ht="45" hidden="false" customHeight="true" outlineLevel="0" collapsed="false">
      <c r="A145" s="4" t="s">
        <v>22</v>
      </c>
      <c r="B145" s="4" t="s">
        <v>460</v>
      </c>
      <c r="C145" s="4" t="s">
        <v>457</v>
      </c>
      <c r="D145" s="4" t="s">
        <v>461</v>
      </c>
      <c r="E145" s="4" t="s">
        <v>13</v>
      </c>
      <c r="F145" s="4" t="s">
        <v>14</v>
      </c>
      <c r="G145" s="4" t="s">
        <v>25</v>
      </c>
      <c r="H145" s="4" t="s">
        <v>462</v>
      </c>
      <c r="I145" s="4" t="s">
        <v>121</v>
      </c>
    </row>
    <row r="146" customFormat="false" ht="45" hidden="false" customHeight="true" outlineLevel="0" collapsed="false">
      <c r="A146" s="4" t="s">
        <v>22</v>
      </c>
      <c r="B146" s="4" t="s">
        <v>463</v>
      </c>
      <c r="C146" s="4" t="s">
        <v>457</v>
      </c>
      <c r="D146" s="4" t="s">
        <v>464</v>
      </c>
      <c r="E146" s="4" t="s">
        <v>13</v>
      </c>
      <c r="F146" s="4" t="s">
        <v>14</v>
      </c>
      <c r="G146" s="4" t="s">
        <v>25</v>
      </c>
      <c r="H146" s="4" t="s">
        <v>465</v>
      </c>
      <c r="I146" s="4" t="s">
        <v>121</v>
      </c>
    </row>
    <row r="147" customFormat="false" ht="45" hidden="false" customHeight="true" outlineLevel="0" collapsed="false">
      <c r="A147" s="4" t="s">
        <v>22</v>
      </c>
      <c r="B147" s="4" t="s">
        <v>466</v>
      </c>
      <c r="C147" s="4" t="s">
        <v>457</v>
      </c>
      <c r="D147" s="4" t="s">
        <v>467</v>
      </c>
      <c r="E147" s="4" t="s">
        <v>13</v>
      </c>
      <c r="F147" s="4" t="s">
        <v>14</v>
      </c>
      <c r="G147" s="4" t="s">
        <v>15</v>
      </c>
      <c r="H147" s="4" t="s">
        <v>468</v>
      </c>
      <c r="I147" s="4" t="s">
        <v>121</v>
      </c>
    </row>
    <row r="148" customFormat="false" ht="60" hidden="false" customHeight="true" outlineLevel="0" collapsed="false">
      <c r="A148" s="3" t="s">
        <v>18</v>
      </c>
      <c r="B148" s="3" t="s">
        <v>469</v>
      </c>
      <c r="C148" s="3" t="s">
        <v>454</v>
      </c>
      <c r="D148" s="3" t="s">
        <v>470</v>
      </c>
      <c r="E148" s="3" t="s">
        <v>13</v>
      </c>
      <c r="F148" s="3" t="s">
        <v>14</v>
      </c>
      <c r="G148" s="3" t="s">
        <v>25</v>
      </c>
      <c r="H148" s="3" t="s">
        <v>471</v>
      </c>
      <c r="I148" s="3" t="s">
        <v>371</v>
      </c>
    </row>
    <row r="149" customFormat="false" ht="45" hidden="false" customHeight="true" outlineLevel="0" collapsed="false">
      <c r="A149" s="4" t="s">
        <v>22</v>
      </c>
      <c r="B149" s="4" t="s">
        <v>472</v>
      </c>
      <c r="C149" s="4" t="s">
        <v>469</v>
      </c>
      <c r="D149" s="4" t="s">
        <v>473</v>
      </c>
      <c r="E149" s="4" t="s">
        <v>13</v>
      </c>
      <c r="F149" s="4" t="s">
        <v>14</v>
      </c>
      <c r="G149" s="4" t="s">
        <v>25</v>
      </c>
      <c r="H149" s="4" t="s">
        <v>474</v>
      </c>
      <c r="I149" s="4" t="s">
        <v>371</v>
      </c>
    </row>
    <row r="150" customFormat="false" ht="60" hidden="false" customHeight="true" outlineLevel="0" collapsed="false">
      <c r="A150" s="3" t="s">
        <v>18</v>
      </c>
      <c r="B150" s="3" t="s">
        <v>475</v>
      </c>
      <c r="C150" s="3" t="s">
        <v>454</v>
      </c>
      <c r="D150" s="3" t="s">
        <v>476</v>
      </c>
      <c r="E150" s="3" t="s">
        <v>13</v>
      </c>
      <c r="F150" s="3" t="s">
        <v>14</v>
      </c>
      <c r="G150" s="3" t="s">
        <v>25</v>
      </c>
      <c r="H150" s="3" t="s">
        <v>477</v>
      </c>
      <c r="I150" s="3" t="s">
        <v>107</v>
      </c>
    </row>
    <row r="151" customFormat="false" ht="45" hidden="false" customHeight="true" outlineLevel="0" collapsed="false">
      <c r="A151" s="4" t="s">
        <v>22</v>
      </c>
      <c r="B151" s="4" t="s">
        <v>478</v>
      </c>
      <c r="C151" s="4" t="s">
        <v>475</v>
      </c>
      <c r="D151" s="4" t="s">
        <v>479</v>
      </c>
      <c r="E151" s="4" t="s">
        <v>33</v>
      </c>
      <c r="F151" s="4" t="s">
        <v>14</v>
      </c>
      <c r="G151" s="4" t="s">
        <v>25</v>
      </c>
      <c r="H151" s="4" t="s">
        <v>480</v>
      </c>
      <c r="I151" s="4" t="s">
        <v>107</v>
      </c>
    </row>
    <row r="152" customFormat="false" ht="60" hidden="false" customHeight="true" outlineLevel="0" collapsed="false">
      <c r="A152" s="3" t="s">
        <v>18</v>
      </c>
      <c r="B152" s="3" t="s">
        <v>481</v>
      </c>
      <c r="C152" s="3" t="s">
        <v>454</v>
      </c>
      <c r="D152" s="3" t="s">
        <v>482</v>
      </c>
      <c r="E152" s="3" t="s">
        <v>13</v>
      </c>
      <c r="F152" s="3" t="s">
        <v>14</v>
      </c>
      <c r="G152" s="3" t="s">
        <v>25</v>
      </c>
      <c r="H152" s="3" t="s">
        <v>483</v>
      </c>
      <c r="I152" s="3" t="s">
        <v>371</v>
      </c>
    </row>
    <row r="153" customFormat="false" ht="60" hidden="false" customHeight="true" outlineLevel="0" collapsed="false">
      <c r="A153" s="2" t="s">
        <v>9</v>
      </c>
      <c r="B153" s="2" t="s">
        <v>484</v>
      </c>
      <c r="C153" s="2" t="s">
        <v>11</v>
      </c>
      <c r="D153" s="2" t="s">
        <v>485</v>
      </c>
      <c r="E153" s="2" t="s">
        <v>13</v>
      </c>
      <c r="F153" s="2" t="s">
        <v>14</v>
      </c>
      <c r="G153" s="2" t="s">
        <v>25</v>
      </c>
      <c r="H153" s="2" t="s">
        <v>486</v>
      </c>
      <c r="I153" s="2" t="s">
        <v>487</v>
      </c>
    </row>
    <row r="154" customFormat="false" ht="60" hidden="false" customHeight="true" outlineLevel="0" collapsed="false">
      <c r="A154" s="3" t="s">
        <v>18</v>
      </c>
      <c r="B154" s="3" t="s">
        <v>488</v>
      </c>
      <c r="C154" s="3" t="s">
        <v>484</v>
      </c>
      <c r="D154" s="3" t="s">
        <v>489</v>
      </c>
      <c r="E154" s="3" t="s">
        <v>13</v>
      </c>
      <c r="F154" s="3" t="s">
        <v>14</v>
      </c>
      <c r="G154" s="3" t="s">
        <v>25</v>
      </c>
      <c r="H154" s="3" t="s">
        <v>490</v>
      </c>
      <c r="I154" s="3" t="s">
        <v>487</v>
      </c>
    </row>
    <row r="155" customFormat="false" ht="45" hidden="false" customHeight="true" outlineLevel="0" collapsed="false">
      <c r="A155" s="4" t="s">
        <v>22</v>
      </c>
      <c r="B155" s="4" t="s">
        <v>491</v>
      </c>
      <c r="C155" s="4" t="s">
        <v>488</v>
      </c>
      <c r="D155" s="4" t="s">
        <v>492</v>
      </c>
      <c r="E155" s="4" t="s">
        <v>13</v>
      </c>
      <c r="F155" s="4" t="s">
        <v>34</v>
      </c>
      <c r="G155" s="4" t="s">
        <v>25</v>
      </c>
      <c r="H155" s="4" t="s">
        <v>493</v>
      </c>
      <c r="I155" s="4" t="s">
        <v>487</v>
      </c>
    </row>
    <row r="156" customFormat="false" ht="45" hidden="false" customHeight="true" outlineLevel="0" collapsed="false">
      <c r="A156" s="4" t="s">
        <v>22</v>
      </c>
      <c r="B156" s="4" t="s">
        <v>494</v>
      </c>
      <c r="C156" s="4" t="s">
        <v>488</v>
      </c>
      <c r="D156" s="4" t="s">
        <v>495</v>
      </c>
      <c r="E156" s="4" t="s">
        <v>13</v>
      </c>
      <c r="F156" s="4" t="s">
        <v>34</v>
      </c>
      <c r="G156" s="4" t="s">
        <v>25</v>
      </c>
      <c r="H156" s="4" t="s">
        <v>496</v>
      </c>
      <c r="I156" s="4" t="s">
        <v>487</v>
      </c>
    </row>
    <row r="157" customFormat="false" ht="60" hidden="false" customHeight="true" outlineLevel="0" collapsed="false">
      <c r="A157" s="3" t="s">
        <v>18</v>
      </c>
      <c r="B157" s="3" t="s">
        <v>497</v>
      </c>
      <c r="C157" s="3" t="s">
        <v>484</v>
      </c>
      <c r="D157" s="3" t="s">
        <v>498</v>
      </c>
      <c r="E157" s="3" t="s">
        <v>33</v>
      </c>
      <c r="F157" s="3" t="s">
        <v>14</v>
      </c>
      <c r="G157" s="3" t="s">
        <v>25</v>
      </c>
      <c r="H157" s="3" t="s">
        <v>499</v>
      </c>
      <c r="I157" s="3" t="s">
        <v>487</v>
      </c>
    </row>
    <row r="158" customFormat="false" ht="60" hidden="false" customHeight="true" outlineLevel="0" collapsed="false">
      <c r="A158" s="3" t="s">
        <v>18</v>
      </c>
      <c r="B158" s="3" t="s">
        <v>500</v>
      </c>
      <c r="C158" s="3" t="s">
        <v>484</v>
      </c>
      <c r="D158" s="3" t="s">
        <v>501</v>
      </c>
      <c r="E158" s="3" t="s">
        <v>33</v>
      </c>
      <c r="F158" s="3" t="s">
        <v>14</v>
      </c>
      <c r="G158" s="3" t="s">
        <v>35</v>
      </c>
      <c r="H158" s="3" t="s">
        <v>502</v>
      </c>
      <c r="I158" s="3" t="s">
        <v>487</v>
      </c>
    </row>
    <row r="159" customFormat="false" ht="60" hidden="false" customHeight="true" outlineLevel="0" collapsed="false">
      <c r="A159" s="3" t="s">
        <v>18</v>
      </c>
      <c r="B159" s="3" t="s">
        <v>503</v>
      </c>
      <c r="C159" s="3" t="s">
        <v>484</v>
      </c>
      <c r="D159" s="3" t="s">
        <v>504</v>
      </c>
      <c r="E159" s="3" t="s">
        <v>273</v>
      </c>
      <c r="F159" s="3" t="s">
        <v>14</v>
      </c>
      <c r="G159" s="3" t="s">
        <v>35</v>
      </c>
      <c r="H159" s="3" t="s">
        <v>505</v>
      </c>
      <c r="I159" s="3" t="s">
        <v>487</v>
      </c>
    </row>
    <row r="160" customFormat="false" ht="45" hidden="false" customHeight="true" outlineLevel="0" collapsed="false">
      <c r="A160" s="4" t="s">
        <v>22</v>
      </c>
      <c r="B160" s="4" t="s">
        <v>506</v>
      </c>
      <c r="C160" s="4" t="s">
        <v>503</v>
      </c>
      <c r="D160" s="4" t="s">
        <v>507</v>
      </c>
      <c r="E160" s="4" t="s">
        <v>273</v>
      </c>
      <c r="F160" s="4" t="s">
        <v>14</v>
      </c>
      <c r="G160" s="4" t="s">
        <v>35</v>
      </c>
      <c r="H160" s="4" t="s">
        <v>508</v>
      </c>
      <c r="I160" s="4" t="s">
        <v>487</v>
      </c>
    </row>
    <row r="161" customFormat="false" ht="45" hidden="false" customHeight="true" outlineLevel="0" collapsed="false">
      <c r="A161" s="4" t="s">
        <v>22</v>
      </c>
      <c r="B161" s="4" t="s">
        <v>509</v>
      </c>
      <c r="C161" s="4" t="s">
        <v>503</v>
      </c>
      <c r="D161" s="4" t="s">
        <v>510</v>
      </c>
      <c r="E161" s="4" t="s">
        <v>273</v>
      </c>
      <c r="F161" s="4" t="s">
        <v>14</v>
      </c>
      <c r="G161" s="4" t="s">
        <v>35</v>
      </c>
      <c r="H161" s="4" t="s">
        <v>511</v>
      </c>
      <c r="I161" s="4" t="s">
        <v>487</v>
      </c>
    </row>
    <row r="162" customFormat="false" ht="60" hidden="false" customHeight="true" outlineLevel="0" collapsed="false">
      <c r="A162" s="2" t="s">
        <v>9</v>
      </c>
      <c r="B162" s="2" t="s">
        <v>512</v>
      </c>
      <c r="C162" s="2" t="s">
        <v>11</v>
      </c>
      <c r="D162" s="2" t="s">
        <v>513</v>
      </c>
      <c r="E162" s="2" t="s">
        <v>13</v>
      </c>
      <c r="F162" s="2" t="s">
        <v>14</v>
      </c>
      <c r="G162" s="2" t="s">
        <v>15</v>
      </c>
      <c r="H162" s="2" t="s">
        <v>514</v>
      </c>
      <c r="I162" s="2" t="s">
        <v>371</v>
      </c>
    </row>
    <row r="163" customFormat="false" ht="60" hidden="false" customHeight="true" outlineLevel="0" collapsed="false">
      <c r="A163" s="3" t="s">
        <v>18</v>
      </c>
      <c r="B163" s="3" t="s">
        <v>515</v>
      </c>
      <c r="C163" s="3" t="s">
        <v>512</v>
      </c>
      <c r="D163" s="3" t="s">
        <v>516</v>
      </c>
      <c r="E163" s="3" t="s">
        <v>13</v>
      </c>
      <c r="F163" s="3" t="s">
        <v>14</v>
      </c>
      <c r="G163" s="3" t="s">
        <v>15</v>
      </c>
      <c r="H163" s="3" t="s">
        <v>517</v>
      </c>
      <c r="I163" s="3" t="s">
        <v>371</v>
      </c>
    </row>
    <row r="164" customFormat="false" ht="60" hidden="false" customHeight="true" outlineLevel="0" collapsed="false">
      <c r="A164" s="3" t="s">
        <v>18</v>
      </c>
      <c r="B164" s="3" t="s">
        <v>518</v>
      </c>
      <c r="C164" s="3" t="s">
        <v>512</v>
      </c>
      <c r="D164" s="3" t="s">
        <v>519</v>
      </c>
      <c r="E164" s="3" t="s">
        <v>13</v>
      </c>
      <c r="F164" s="3" t="s">
        <v>14</v>
      </c>
      <c r="G164" s="3" t="s">
        <v>15</v>
      </c>
      <c r="H164" s="3" t="s">
        <v>520</v>
      </c>
      <c r="I164" s="3" t="s">
        <v>371</v>
      </c>
    </row>
    <row r="165" customFormat="false" ht="60" hidden="false" customHeight="true" outlineLevel="0" collapsed="false">
      <c r="A165" s="3" t="s">
        <v>18</v>
      </c>
      <c r="B165" s="3" t="s">
        <v>521</v>
      </c>
      <c r="C165" s="3" t="s">
        <v>512</v>
      </c>
      <c r="D165" s="3" t="s">
        <v>522</v>
      </c>
      <c r="E165" s="3" t="s">
        <v>13</v>
      </c>
      <c r="F165" s="3" t="s">
        <v>14</v>
      </c>
      <c r="G165" s="3" t="s">
        <v>15</v>
      </c>
      <c r="H165" s="3" t="s">
        <v>523</v>
      </c>
      <c r="I165" s="3" t="s">
        <v>371</v>
      </c>
    </row>
    <row r="166" customFormat="false" ht="60" hidden="false" customHeight="true" outlineLevel="0" collapsed="false">
      <c r="A166" s="3" t="s">
        <v>18</v>
      </c>
      <c r="B166" s="3" t="s">
        <v>524</v>
      </c>
      <c r="C166" s="3" t="s">
        <v>512</v>
      </c>
      <c r="D166" s="3" t="s">
        <v>525</v>
      </c>
      <c r="E166" s="3" t="s">
        <v>13</v>
      </c>
      <c r="F166" s="3" t="s">
        <v>14</v>
      </c>
      <c r="G166" s="3" t="s">
        <v>25</v>
      </c>
      <c r="H166" s="3" t="s">
        <v>526</v>
      </c>
      <c r="I166" s="3" t="s">
        <v>371</v>
      </c>
    </row>
    <row r="167" customFormat="false" ht="60" hidden="false" customHeight="true" outlineLevel="0" collapsed="false">
      <c r="A167" s="3" t="s">
        <v>18</v>
      </c>
      <c r="B167" s="3" t="s">
        <v>527</v>
      </c>
      <c r="C167" s="3" t="s">
        <v>512</v>
      </c>
      <c r="D167" s="3" t="s">
        <v>528</v>
      </c>
      <c r="E167" s="3" t="s">
        <v>33</v>
      </c>
      <c r="F167" s="3" t="s">
        <v>14</v>
      </c>
      <c r="G167" s="3" t="s">
        <v>35</v>
      </c>
      <c r="H167" s="3" t="s">
        <v>529</v>
      </c>
      <c r="I167" s="3" t="s">
        <v>371</v>
      </c>
    </row>
    <row r="168" customFormat="false" ht="45" hidden="false" customHeight="true" outlineLevel="0" collapsed="false">
      <c r="A168" s="4" t="s">
        <v>22</v>
      </c>
      <c r="B168" s="4" t="s">
        <v>530</v>
      </c>
      <c r="C168" s="4" t="s">
        <v>527</v>
      </c>
      <c r="D168" s="4" t="s">
        <v>531</v>
      </c>
      <c r="E168" s="4" t="s">
        <v>33</v>
      </c>
      <c r="F168" s="4" t="s">
        <v>14</v>
      </c>
      <c r="G168" s="4" t="s">
        <v>35</v>
      </c>
      <c r="H168" s="4" t="s">
        <v>532</v>
      </c>
      <c r="I168" s="4" t="s">
        <v>216</v>
      </c>
    </row>
    <row r="169" customFormat="false" ht="45" hidden="false" customHeight="true" outlineLevel="0" collapsed="false">
      <c r="A169" s="4" t="s">
        <v>22</v>
      </c>
      <c r="B169" s="4" t="s">
        <v>533</v>
      </c>
      <c r="C169" s="4" t="s">
        <v>527</v>
      </c>
      <c r="D169" s="4" t="s">
        <v>534</v>
      </c>
      <c r="E169" s="4" t="s">
        <v>33</v>
      </c>
      <c r="F169" s="4" t="s">
        <v>14</v>
      </c>
      <c r="G169" s="4" t="s">
        <v>35</v>
      </c>
      <c r="H169" s="4" t="s">
        <v>535</v>
      </c>
      <c r="I169" s="4" t="s">
        <v>371</v>
      </c>
    </row>
    <row r="170" customFormat="false" ht="45" hidden="false" customHeight="true" outlineLevel="0" collapsed="false">
      <c r="A170" s="4" t="s">
        <v>22</v>
      </c>
      <c r="B170" s="4" t="s">
        <v>536</v>
      </c>
      <c r="C170" s="4" t="s">
        <v>527</v>
      </c>
      <c r="D170" s="4" t="s">
        <v>537</v>
      </c>
      <c r="E170" s="4" t="s">
        <v>33</v>
      </c>
      <c r="F170" s="4" t="s">
        <v>14</v>
      </c>
      <c r="G170" s="4" t="s">
        <v>35</v>
      </c>
      <c r="H170" s="4" t="s">
        <v>538</v>
      </c>
      <c r="I170" s="4" t="s">
        <v>216</v>
      </c>
    </row>
    <row r="171" customFormat="false" ht="60" hidden="false" customHeight="true" outlineLevel="0" collapsed="false">
      <c r="A171" s="2" t="s">
        <v>9</v>
      </c>
      <c r="B171" s="2" t="s">
        <v>539</v>
      </c>
      <c r="C171" s="2" t="s">
        <v>11</v>
      </c>
      <c r="D171" s="2" t="s">
        <v>540</v>
      </c>
      <c r="E171" s="2" t="s">
        <v>33</v>
      </c>
      <c r="F171" s="2" t="s">
        <v>14</v>
      </c>
      <c r="G171" s="2" t="s">
        <v>25</v>
      </c>
      <c r="H171" s="2" t="s">
        <v>541</v>
      </c>
      <c r="I171" s="2" t="s">
        <v>107</v>
      </c>
    </row>
    <row r="172" customFormat="false" ht="60" hidden="false" customHeight="true" outlineLevel="0" collapsed="false">
      <c r="A172" s="3" t="s">
        <v>18</v>
      </c>
      <c r="B172" s="3" t="s">
        <v>542</v>
      </c>
      <c r="C172" s="3" t="s">
        <v>539</v>
      </c>
      <c r="D172" s="3" t="s">
        <v>543</v>
      </c>
      <c r="E172" s="3" t="s">
        <v>33</v>
      </c>
      <c r="F172" s="3" t="s">
        <v>14</v>
      </c>
      <c r="G172" s="3" t="s">
        <v>15</v>
      </c>
      <c r="H172" s="3" t="s">
        <v>544</v>
      </c>
      <c r="I172" s="3" t="s">
        <v>107</v>
      </c>
    </row>
    <row r="173" customFormat="false" ht="45" hidden="false" customHeight="true" outlineLevel="0" collapsed="false">
      <c r="A173" s="4" t="s">
        <v>22</v>
      </c>
      <c r="B173" s="4" t="s">
        <v>545</v>
      </c>
      <c r="C173" s="4" t="s">
        <v>542</v>
      </c>
      <c r="D173" s="4" t="s">
        <v>546</v>
      </c>
      <c r="E173" s="4" t="s">
        <v>33</v>
      </c>
      <c r="F173" s="4" t="s">
        <v>14</v>
      </c>
      <c r="G173" s="4" t="s">
        <v>15</v>
      </c>
      <c r="H173" s="4" t="s">
        <v>547</v>
      </c>
      <c r="I173" s="4" t="s">
        <v>107</v>
      </c>
    </row>
    <row r="174" customFormat="false" ht="60" hidden="false" customHeight="true" outlineLevel="0" collapsed="false">
      <c r="A174" s="3" t="s">
        <v>18</v>
      </c>
      <c r="B174" s="3" t="s">
        <v>548</v>
      </c>
      <c r="C174" s="3" t="s">
        <v>539</v>
      </c>
      <c r="D174" s="3" t="s">
        <v>549</v>
      </c>
      <c r="E174" s="3" t="s">
        <v>33</v>
      </c>
      <c r="F174" s="3" t="s">
        <v>14</v>
      </c>
      <c r="G174" s="3" t="s">
        <v>25</v>
      </c>
      <c r="H174" s="3" t="s">
        <v>550</v>
      </c>
      <c r="I174" s="3" t="s">
        <v>107</v>
      </c>
    </row>
    <row r="175" customFormat="false" ht="60" hidden="false" customHeight="true" outlineLevel="0" collapsed="false">
      <c r="A175" s="3" t="s">
        <v>18</v>
      </c>
      <c r="B175" s="3" t="s">
        <v>551</v>
      </c>
      <c r="C175" s="3" t="s">
        <v>539</v>
      </c>
      <c r="D175" s="3" t="s">
        <v>552</v>
      </c>
      <c r="E175" s="3" t="s">
        <v>13</v>
      </c>
      <c r="F175" s="3" t="s">
        <v>14</v>
      </c>
      <c r="G175" s="3" t="s">
        <v>25</v>
      </c>
      <c r="H175" s="3" t="s">
        <v>553</v>
      </c>
      <c r="I175" s="3" t="s">
        <v>121</v>
      </c>
    </row>
  </sheetData>
  <autoFilter ref="A1:I1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15"/>
  </cols>
  <sheetData>
    <row r="1" customFormat="false" ht="17.35" hidden="false" customHeight="false" outlineLevel="0" collapsed="false">
      <c r="A1" s="6" t="s">
        <v>554</v>
      </c>
      <c r="B1" s="7"/>
      <c r="C1" s="7"/>
      <c r="D1" s="7"/>
      <c r="E1" s="7"/>
    </row>
    <row r="2" customFormat="false" ht="15" hidden="false" customHeight="false" outlineLevel="0" collapsed="false">
      <c r="A2" s="7"/>
      <c r="B2" s="7"/>
      <c r="C2" s="7"/>
      <c r="D2" s="7"/>
      <c r="E2" s="7"/>
    </row>
    <row r="3" customFormat="false" ht="15" hidden="false" customHeight="false" outlineLevel="0" collapsed="false">
      <c r="A3" s="8" t="s">
        <v>555</v>
      </c>
      <c r="B3" s="8" t="s">
        <v>556</v>
      </c>
      <c r="C3" s="7"/>
      <c r="D3" s="7"/>
      <c r="E3" s="7"/>
    </row>
    <row r="4" customFormat="false" ht="15" hidden="false" customHeight="false" outlineLevel="0" collapsed="false">
      <c r="A4" s="7" t="s">
        <v>557</v>
      </c>
      <c r="B4" s="7" t="n">
        <f aca="false">COUNTA('Banking Capability Map'!A2:A175)</f>
        <v>174</v>
      </c>
      <c r="C4" s="7"/>
      <c r="D4" s="7"/>
      <c r="E4" s="7"/>
    </row>
    <row r="5" customFormat="false" ht="15" hidden="false" customHeight="false" outlineLevel="0" collapsed="false">
      <c r="A5" s="7" t="s">
        <v>558</v>
      </c>
      <c r="B5" s="7" t="n">
        <f aca="false">COUNTIF('Banking Capability Map'!A2:A175,"L1")</f>
        <v>14</v>
      </c>
      <c r="C5" s="7"/>
      <c r="D5" s="7"/>
      <c r="E5" s="7"/>
    </row>
    <row r="6" customFormat="false" ht="15" hidden="false" customHeight="false" outlineLevel="0" collapsed="false">
      <c r="A6" s="7" t="s">
        <v>559</v>
      </c>
      <c r="B6" s="7" t="n">
        <f aca="false">COUNTIF('Banking Capability Map'!A2:A175,"L2")</f>
        <v>60</v>
      </c>
      <c r="C6" s="7"/>
      <c r="D6" s="7"/>
      <c r="E6" s="7"/>
    </row>
    <row r="7" customFormat="false" ht="15" hidden="false" customHeight="false" outlineLevel="0" collapsed="false">
      <c r="A7" s="7" t="s">
        <v>560</v>
      </c>
      <c r="B7" s="7" t="n">
        <f aca="false">COUNTIF('Banking Capability Map'!A2:A175,"L3")</f>
        <v>88</v>
      </c>
      <c r="C7" s="7"/>
      <c r="D7" s="7"/>
      <c r="E7" s="7"/>
    </row>
    <row r="8" customFormat="false" ht="15" hidden="false" customHeight="false" outlineLevel="0" collapsed="false">
      <c r="A8" s="7" t="s">
        <v>561</v>
      </c>
      <c r="B8" s="7" t="n">
        <f aca="false">COUNTIF('Banking Capability Map'!A2:A175,"L4")</f>
        <v>12</v>
      </c>
      <c r="C8" s="7"/>
      <c r="D8" s="7"/>
      <c r="E8" s="7"/>
    </row>
    <row r="9" customFormat="false" ht="15" hidden="false" customHeight="false" outlineLevel="0" collapsed="false">
      <c r="A9" s="7"/>
      <c r="B9" s="7"/>
      <c r="C9" s="7"/>
      <c r="D9" s="7"/>
      <c r="E9" s="7"/>
    </row>
    <row r="10" customFormat="false" ht="15" hidden="false" customHeight="false" outlineLevel="0" collapsed="false">
      <c r="A10" s="7" t="s">
        <v>562</v>
      </c>
      <c r="B10" s="7" t="n">
        <f aca="false">COUNTIF('Banking Capability Map'!F2:F175,"True")</f>
        <v>140</v>
      </c>
      <c r="C10" s="7"/>
      <c r="D10" s="7"/>
      <c r="E10" s="7"/>
    </row>
    <row r="11" customFormat="false" ht="15" hidden="false" customHeight="false" outlineLevel="0" collapsed="false">
      <c r="A11" s="7" t="s">
        <v>563</v>
      </c>
      <c r="B11" s="7" t="n">
        <f aca="false">COUNTIF('Banking Capability Map'!F2:F175,"False")</f>
        <v>34</v>
      </c>
      <c r="C11" s="7"/>
      <c r="D11" s="7"/>
      <c r="E11" s="7"/>
    </row>
    <row r="12" customFormat="false" ht="15" hidden="false" customHeight="false" outlineLevel="0" collapsed="false">
      <c r="A12" s="7"/>
      <c r="B12" s="7"/>
      <c r="C12" s="7"/>
      <c r="D12" s="7"/>
      <c r="E12" s="7"/>
    </row>
    <row r="13" customFormat="false" ht="15" hidden="false" customHeight="false" outlineLevel="0" collapsed="false">
      <c r="A13" s="8" t="s">
        <v>564</v>
      </c>
      <c r="B13" s="8" t="s">
        <v>556</v>
      </c>
      <c r="C13" s="7"/>
      <c r="D13" s="7"/>
      <c r="E13" s="7"/>
    </row>
    <row r="14" customFormat="false" ht="15" hidden="false" customHeight="false" outlineLevel="0" collapsed="false">
      <c r="A14" s="7" t="s">
        <v>35</v>
      </c>
      <c r="B14" s="7" t="n">
        <f aca="false">COUNTIF('Banking Capability Map'!G2:G175,"Emerging")</f>
        <v>13</v>
      </c>
      <c r="C14" s="7"/>
      <c r="D14" s="7"/>
      <c r="E14" s="7"/>
    </row>
    <row r="15" customFormat="false" ht="15" hidden="false" customHeight="false" outlineLevel="0" collapsed="false">
      <c r="A15" s="7" t="s">
        <v>25</v>
      </c>
      <c r="B15" s="7" t="n">
        <f aca="false">COUNTIF('Banking Capability Map'!G2:G175,"Growing")</f>
        <v>67</v>
      </c>
      <c r="C15" s="7"/>
      <c r="D15" s="7"/>
      <c r="E15" s="7"/>
    </row>
    <row r="16" customFormat="false" ht="15" hidden="false" customHeight="false" outlineLevel="0" collapsed="false">
      <c r="A16" s="7" t="s">
        <v>15</v>
      </c>
      <c r="B16" s="7" t="n">
        <f aca="false">COUNTIF('Banking Capability Map'!G2:G175,"Mature")</f>
        <v>83</v>
      </c>
      <c r="C16" s="7"/>
      <c r="D16" s="7"/>
      <c r="E16" s="7"/>
    </row>
    <row r="17" customFormat="false" ht="15" hidden="false" customHeight="false" outlineLevel="0" collapsed="false">
      <c r="A17" s="7" t="s">
        <v>39</v>
      </c>
      <c r="B17" s="7" t="n">
        <f aca="false">COUNTIF('Banking Capability Map'!G2:G175,"Saturated")</f>
        <v>11</v>
      </c>
      <c r="C17" s="7"/>
      <c r="D17" s="7"/>
      <c r="E17" s="7"/>
    </row>
    <row r="18" customFormat="false" ht="15" hidden="false" customHeight="false" outlineLevel="0" collapsed="false">
      <c r="A18" s="7"/>
      <c r="B18" s="7"/>
      <c r="C18" s="7"/>
      <c r="D18" s="7"/>
      <c r="E18" s="7"/>
    </row>
    <row r="19" customFormat="false" ht="15" hidden="false" customHeight="false" outlineLevel="0" collapsed="false">
      <c r="A19" s="8" t="s">
        <v>565</v>
      </c>
      <c r="B19" s="8" t="s">
        <v>556</v>
      </c>
      <c r="C19" s="7"/>
      <c r="D19" s="7"/>
      <c r="E19" s="7"/>
    </row>
    <row r="20" customFormat="false" ht="15" hidden="false" customHeight="false" outlineLevel="0" collapsed="false">
      <c r="A20" s="7" t="s">
        <v>17</v>
      </c>
      <c r="B20" s="7" t="n">
        <f aca="false">COUNTIF('Banking Capability Map'!I2:I175,"Payment Infrastructure")</f>
        <v>27</v>
      </c>
      <c r="C20" s="7"/>
      <c r="D20" s="7"/>
      <c r="E20" s="7"/>
    </row>
    <row r="21" customFormat="false" ht="15" hidden="false" customHeight="false" outlineLevel="0" collapsed="false">
      <c r="A21" s="7" t="s">
        <v>107</v>
      </c>
      <c r="B21" s="7" t="n">
        <f aca="false">COUNTIF('Banking Capability Map'!I2:I175,"Core Banking Systems")</f>
        <v>31</v>
      </c>
      <c r="C21" s="7"/>
      <c r="D21" s="7"/>
      <c r="E21" s="7"/>
    </row>
    <row r="22" customFormat="false" ht="15" hidden="false" customHeight="false" outlineLevel="0" collapsed="false">
      <c r="A22" s="7" t="s">
        <v>114</v>
      </c>
      <c r="B22" s="7" t="n">
        <f aca="false">COUNTIF('Banking Capability Map'!I2:I175,"Customer &amp; Digital Experience")</f>
        <v>13</v>
      </c>
      <c r="C22" s="7"/>
      <c r="D22" s="7"/>
      <c r="E22" s="7"/>
    </row>
    <row r="23" customFormat="false" ht="15" hidden="false" customHeight="false" outlineLevel="0" collapsed="false">
      <c r="A23" s="7" t="s">
        <v>216</v>
      </c>
      <c r="B23" s="7" t="n">
        <f aca="false">COUNTIF('Banking Capability Map'!I2:I175,"Risk Management")</f>
        <v>17</v>
      </c>
      <c r="C23" s="7"/>
      <c r="D23" s="7"/>
      <c r="E23" s="7"/>
    </row>
    <row r="24" customFormat="false" ht="15" hidden="false" customHeight="false" outlineLevel="0" collapsed="false">
      <c r="A24" s="7" t="s">
        <v>121</v>
      </c>
      <c r="B24" s="7" t="n">
        <f aca="false">COUNTIF('Banking Capability Map'!I2:I175,"Security &amp; Compliance")</f>
        <v>22</v>
      </c>
      <c r="C24" s="7"/>
      <c r="D24" s="7"/>
      <c r="E24" s="7"/>
    </row>
    <row r="25" customFormat="false" ht="15" hidden="false" customHeight="false" outlineLevel="0" collapsed="false">
      <c r="A25" s="7" t="s">
        <v>170</v>
      </c>
      <c r="B25" s="7" t="n">
        <f aca="false">COUNTIF('Banking Capability Map'!I2:I175,"Data &amp; Analytics")</f>
        <v>16</v>
      </c>
      <c r="C25" s="7"/>
      <c r="D25" s="7"/>
      <c r="E25" s="7"/>
    </row>
    <row r="26" customFormat="false" ht="15" hidden="false" customHeight="false" outlineLevel="0" collapsed="false">
      <c r="A26" s="7" t="s">
        <v>255</v>
      </c>
      <c r="B26" s="7" t="n">
        <f aca="false">COUNTIF('Banking Capability Map'!I2:I175,"Treasury &amp; Capital Markets")</f>
        <v>11</v>
      </c>
      <c r="C26" s="7"/>
      <c r="D26" s="7"/>
      <c r="E26" s="7"/>
    </row>
    <row r="27" customFormat="false" ht="15" hidden="false" customHeight="false" outlineLevel="0" collapsed="false">
      <c r="A27" s="7" t="s">
        <v>371</v>
      </c>
      <c r="B27" s="7" t="n">
        <f aca="false">COUNTIF('Banking Capability Map'!I2:I175,"Enterprise Services")</f>
        <v>16</v>
      </c>
      <c r="C27" s="7"/>
      <c r="D27" s="7"/>
      <c r="E27" s="7"/>
    </row>
    <row r="28" customFormat="false" ht="15" hidden="false" customHeight="false" outlineLevel="0" collapsed="false">
      <c r="A28" s="7" t="s">
        <v>387</v>
      </c>
      <c r="B28" s="7" t="n">
        <f aca="false">COUNTIF('Banking Capability Map'!I2:I175,"Internal Operations")</f>
        <v>12</v>
      </c>
      <c r="C28" s="7"/>
      <c r="D28" s="7"/>
      <c r="E28" s="7"/>
    </row>
    <row r="29" customFormat="false" ht="15" hidden="false" customHeight="false" outlineLevel="0" collapsed="false">
      <c r="A29" s="7" t="s">
        <v>487</v>
      </c>
      <c r="B29" s="7" t="n">
        <f aca="false">COUNTIF('Banking Capability Map'!I2:I175,"Partner Ecosystem")</f>
        <v>9</v>
      </c>
      <c r="C29" s="7"/>
      <c r="D29" s="7"/>
      <c r="E2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70"/>
    <col collapsed="false" customWidth="true" hidden="false" outlineLevel="0" max="3" min="3" style="0" width="12"/>
    <col collapsed="false" customWidth="true" hidden="false" outlineLevel="0" max="4" min="4" style="0" width="25"/>
  </cols>
  <sheetData>
    <row r="1" customFormat="false" ht="15" hidden="false" customHeight="false" outlineLevel="0" collapsed="false">
      <c r="A1" s="1" t="s">
        <v>566</v>
      </c>
      <c r="B1" s="1" t="s">
        <v>567</v>
      </c>
      <c r="C1" s="1" t="s">
        <v>568</v>
      </c>
      <c r="D1" s="1" t="s">
        <v>569</v>
      </c>
    </row>
    <row r="2" customFormat="false" ht="49.5" hidden="false" customHeight="true" outlineLevel="0" collapsed="false">
      <c r="A2" s="9" t="s">
        <v>10</v>
      </c>
      <c r="B2" s="10" t="s">
        <v>570</v>
      </c>
      <c r="C2" s="11" t="n">
        <v>6</v>
      </c>
      <c r="D2" s="11" t="s">
        <v>17</v>
      </c>
    </row>
    <row r="3" customFormat="false" ht="49.5" hidden="false" customHeight="true" outlineLevel="0" collapsed="false">
      <c r="A3" s="9" t="s">
        <v>104</v>
      </c>
      <c r="B3" s="10" t="s">
        <v>571</v>
      </c>
      <c r="C3" s="11" t="n">
        <v>5</v>
      </c>
      <c r="D3" s="11" t="s">
        <v>107</v>
      </c>
    </row>
    <row r="4" customFormat="false" ht="49.5" hidden="false" customHeight="true" outlineLevel="0" collapsed="false">
      <c r="A4" s="9" t="s">
        <v>164</v>
      </c>
      <c r="B4" s="10" t="s">
        <v>572</v>
      </c>
      <c r="C4" s="11" t="n">
        <v>4</v>
      </c>
      <c r="D4" s="11" t="s">
        <v>114</v>
      </c>
    </row>
    <row r="5" customFormat="false" ht="49.5" hidden="false" customHeight="true" outlineLevel="0" collapsed="false">
      <c r="A5" s="9" t="s">
        <v>216</v>
      </c>
      <c r="B5" s="10" t="s">
        <v>573</v>
      </c>
      <c r="C5" s="11" t="n">
        <v>6</v>
      </c>
      <c r="D5" s="11" t="s">
        <v>216</v>
      </c>
    </row>
    <row r="6" customFormat="false" ht="49.5" hidden="false" customHeight="true" outlineLevel="0" collapsed="false">
      <c r="A6" s="9" t="s">
        <v>275</v>
      </c>
      <c r="B6" s="10" t="s">
        <v>574</v>
      </c>
      <c r="C6" s="11" t="n">
        <v>4</v>
      </c>
      <c r="D6" s="11" t="s">
        <v>121</v>
      </c>
    </row>
    <row r="7" customFormat="false" ht="49.5" hidden="false" customHeight="true" outlineLevel="0" collapsed="false">
      <c r="A7" s="9" t="s">
        <v>308</v>
      </c>
      <c r="B7" s="10" t="s">
        <v>575</v>
      </c>
      <c r="C7" s="11" t="n">
        <v>4</v>
      </c>
      <c r="D7" s="11" t="s">
        <v>255</v>
      </c>
    </row>
    <row r="8" customFormat="false" ht="49.5" hidden="false" customHeight="true" outlineLevel="0" collapsed="false">
      <c r="A8" s="9" t="s">
        <v>335</v>
      </c>
      <c r="B8" s="10" t="s">
        <v>576</v>
      </c>
      <c r="C8" s="11" t="n">
        <v>4</v>
      </c>
      <c r="D8" s="11" t="s">
        <v>107</v>
      </c>
    </row>
    <row r="9" customFormat="false" ht="49.5" hidden="false" customHeight="true" outlineLevel="0" collapsed="false">
      <c r="A9" s="9" t="s">
        <v>368</v>
      </c>
      <c r="B9" s="10" t="s">
        <v>577</v>
      </c>
      <c r="C9" s="11" t="n">
        <v>3</v>
      </c>
      <c r="D9" s="11" t="s">
        <v>371</v>
      </c>
    </row>
    <row r="10" customFormat="false" ht="49.5" hidden="false" customHeight="true" outlineLevel="0" collapsed="false">
      <c r="A10" s="9" t="s">
        <v>384</v>
      </c>
      <c r="B10" s="10" t="s">
        <v>578</v>
      </c>
      <c r="C10" s="11" t="n">
        <v>5</v>
      </c>
      <c r="D10" s="11" t="s">
        <v>387</v>
      </c>
    </row>
    <row r="11" customFormat="false" ht="49.5" hidden="false" customHeight="true" outlineLevel="0" collapsed="false">
      <c r="A11" s="9" t="s">
        <v>421</v>
      </c>
      <c r="B11" s="10" t="s">
        <v>579</v>
      </c>
      <c r="C11" s="11" t="n">
        <v>3</v>
      </c>
      <c r="D11" s="11" t="s">
        <v>170</v>
      </c>
    </row>
    <row r="12" customFormat="false" ht="49.5" hidden="false" customHeight="true" outlineLevel="0" collapsed="false">
      <c r="A12" s="9" t="s">
        <v>454</v>
      </c>
      <c r="B12" s="10" t="s">
        <v>580</v>
      </c>
      <c r="C12" s="11" t="n">
        <v>4</v>
      </c>
      <c r="D12" s="11" t="s">
        <v>371</v>
      </c>
    </row>
    <row r="13" customFormat="false" ht="49.5" hidden="false" customHeight="true" outlineLevel="0" collapsed="false">
      <c r="A13" s="9" t="s">
        <v>484</v>
      </c>
      <c r="B13" s="10" t="s">
        <v>581</v>
      </c>
      <c r="C13" s="11" t="n">
        <v>4</v>
      </c>
      <c r="D13" s="11" t="s">
        <v>487</v>
      </c>
    </row>
    <row r="14" customFormat="false" ht="49.5" hidden="false" customHeight="true" outlineLevel="0" collapsed="false">
      <c r="A14" s="9" t="s">
        <v>512</v>
      </c>
      <c r="B14" s="10" t="s">
        <v>582</v>
      </c>
      <c r="C14" s="11" t="n">
        <v>5</v>
      </c>
      <c r="D14" s="11" t="s">
        <v>371</v>
      </c>
    </row>
    <row r="15" customFormat="false" ht="49.5" hidden="false" customHeight="true" outlineLevel="0" collapsed="false">
      <c r="A15" s="9" t="s">
        <v>539</v>
      </c>
      <c r="B15" s="10" t="s">
        <v>583</v>
      </c>
      <c r="C15" s="11" t="n">
        <v>3</v>
      </c>
      <c r="D15" s="11"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2026-04-09T11:30:58Z</dcterms:created>
  <dc:creator>openpyxl</dc:creator>
  <dc:description/>
  <dc:language>en-US</dc:language>
  <cp:lastModifiedBy/>
  <dcterms:modified xsi:type="dcterms:W3CDTF">2026-04-09T11:30:58Z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